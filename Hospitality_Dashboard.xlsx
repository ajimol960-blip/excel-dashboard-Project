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my_projects\"/>
    </mc:Choice>
  </mc:AlternateContent>
  <xr:revisionPtr revIDLastSave="0" documentId="8_{FAA3573E-76E8-482E-88A8-3E7CBA06C739}" xr6:coauthVersionLast="47" xr6:coauthVersionMax="47" xr10:uidLastSave="{00000000-0000-0000-0000-000000000000}"/>
  <bookViews>
    <workbookView xWindow="-110" yWindow="-110" windowWidth="19420" windowHeight="10300" firstSheet="1" activeTab="4" xr2:uid="{00000000-000D-0000-FFFF-FFFF00000000}"/>
  </bookViews>
  <sheets>
    <sheet name="Rooms_Data" sheetId="4" r:id="rId1"/>
    <sheet name="Bookings_Data" sheetId="5" r:id="rId2"/>
    <sheet name="Guests_Data" sheetId="2" r:id="rId3"/>
    <sheet name="Pivot_Analysis" sheetId="7" r:id="rId4"/>
    <sheet name="Dashboard" sheetId="9" r:id="rId5"/>
  </sheets>
  <definedNames>
    <definedName name="Slicer_BookingChannel">#N/A</definedName>
    <definedName name="Slicer_CheckIn_Date__Month">#N/A</definedName>
    <definedName name="Slicer_Country">#N/A</definedName>
    <definedName name="Slicer_Room_Typ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uest_b8686c5f-918a-40e4-8702-962e43fb522d" name="guest" connection="Query - guest"/>
          <x15:modelTable id="rooms_a5d595bd-6cc7-4ce4-b17d-765bd73ee245" name="rooms" connection="Query - rooms"/>
          <x15:modelTable id="booking_a04dd498-8e1c-4127-a19e-eceac6c2216d" name="booking" connection="Query - booking(1)"/>
        </x15:modelTables>
        <x15:modelRelationships>
          <x15:modelRelationship fromTable="booking" fromColumn="GuestID" toTable="guest" toColumn="GuestID"/>
          <x15:modelRelationship fromTable="booking" fromColumn="RoomID" toTable="rooms" toColumn="RoomID"/>
        </x15:modelRelationships>
        <x15:extLst>
          <ext xmlns:x16="http://schemas.microsoft.com/office/spreadsheetml/2014/11/main" uri="{9835A34E-60A6-4A7C-AAB8-D5F71C897F49}">
            <x16:modelTimeGroupings>
              <x16:modelTimeGrouping tableName="booking" columnName="CheckIn_Date" columnId="CheckIn_Date">
                <x16:calculatedTimeColumn columnName="CheckIn_Date (Month Index)" columnId="CheckIn_Date (Month Index)" contentType="monthsindex" isSelected="1"/>
                <x16:calculatedTimeColumn columnName="CheckIn_Date (Month)" columnId="Check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3" i="7" l="1"/>
  <c r="H11" i="7"/>
  <c r="H15" i="7"/>
  <c r="H14" i="7"/>
  <c r="H10" i="7"/>
  <c r="H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45C66-873B-4794-8DB7-61F3BC84F736}" name="Query - booking(1)" description="Connection to the 'booking' query in the workbook." type="100" refreshedVersion="7" minRefreshableVersion="5">
    <extLst>
      <ext xmlns:x15="http://schemas.microsoft.com/office/spreadsheetml/2010/11/main" uri="{DE250136-89BD-433C-8126-D09CA5730AF9}">
        <x15:connection id="0da345f7-d805-495c-8a18-19723c32c7e3"/>
      </ext>
    </extLst>
  </connection>
  <connection id="2" xr16:uid="{6867C782-BDE2-4C16-905D-2B8385A50D58}" name="Query - guest" description="Connection to the 'guest' query in the workbook." type="100" refreshedVersion="7" minRefreshableVersion="5">
    <extLst>
      <ext xmlns:x15="http://schemas.microsoft.com/office/spreadsheetml/2010/11/main" uri="{DE250136-89BD-433C-8126-D09CA5730AF9}">
        <x15:connection id="12fb80ca-7c38-4fbc-8e09-85c4c4789b28"/>
      </ext>
    </extLst>
  </connection>
  <connection id="3" xr16:uid="{34064ACC-C720-48C7-9BCE-FE2C87C67A9C}" name="Query - rooms" description="Connection to the 'rooms' query in the workbook." type="100" refreshedVersion="7" minRefreshableVersion="5">
    <extLst>
      <ext xmlns:x15="http://schemas.microsoft.com/office/spreadsheetml/2010/11/main" uri="{DE250136-89BD-433C-8126-D09CA5730AF9}">
        <x15:connection id="c5236ecd-8599-43a7-83b6-cc607d84ee01"/>
      </ext>
    </extLst>
  </connection>
  <connection id="4" xr16:uid="{2C8DB278-81C7-47D4-A61A-9C9D02E0E42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<sst xmlns="http://schemas.openxmlformats.org/spreadsheetml/2006/main" count="44" uniqueCount="34">
  <si>
    <t>Australia</t>
  </si>
  <si>
    <t>Canada</t>
  </si>
  <si>
    <t>Standard</t>
  </si>
  <si>
    <t>Deluxe</t>
  </si>
  <si>
    <t>Website</t>
  </si>
  <si>
    <t>TravelAgent</t>
  </si>
  <si>
    <t>Walk-in</t>
  </si>
  <si>
    <t>Total Bookings</t>
  </si>
  <si>
    <t>Total Nights Stayed</t>
  </si>
  <si>
    <t>Avg Nights Stayed</t>
  </si>
  <si>
    <t>Row Labels</t>
  </si>
  <si>
    <t>Grand Total</t>
  </si>
  <si>
    <t>Feb</t>
  </si>
  <si>
    <t>KPI</t>
  </si>
  <si>
    <t>Suite</t>
  </si>
  <si>
    <t>Germany</t>
  </si>
  <si>
    <t>UK</t>
  </si>
  <si>
    <t>USA</t>
  </si>
  <si>
    <t>Total Revenue (AED)</t>
  </si>
  <si>
    <t>Avg Revenue per Booking</t>
  </si>
  <si>
    <t>Revenue By Channel</t>
  </si>
  <si>
    <t>Revnue By Month</t>
  </si>
  <si>
    <t>Revenue By Country</t>
  </si>
  <si>
    <t>Revenue per Night (ADR)</t>
  </si>
  <si>
    <t>ADR</t>
  </si>
  <si>
    <t>Total Revenue</t>
  </si>
  <si>
    <t xml:space="preserve">Bookings </t>
  </si>
  <si>
    <t>Total Stay Night</t>
  </si>
  <si>
    <t>AVG Revenue Per Booking</t>
  </si>
  <si>
    <t>AVG Night Stayed</t>
  </si>
  <si>
    <t>Jan</t>
  </si>
  <si>
    <t>Mar</t>
  </si>
  <si>
    <t>Revenue Persentage</t>
  </si>
  <si>
    <t>Revenue By Roomtype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</si>
</sst>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quot;AED&quot;;\-#,##0\ &quot;AED&quot;;#,##0\ &quot;AED&quot;"/>
    <numFmt numFmtId="165" formatCode="#,##0.0\ &quot;AED&quot;;\-#,##0.0\ &quot;AED&quot;;#,##0.0\ &quot;AED&quot;"/>
    <numFmt numFmtId="166" formatCode="_([$AED]\ * #,##0.00_);_([$AED]\ * \(#,##0.00\);_([$AED]\ * &quot;-&quot;??_);_(@_)"/>
    <numFmt numFmtId="167" formatCode="0%;\-0%;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xf numFmtId="164" fontId="0" fillId="0" borderId="0" xfId="0" applyNumberFormat="1"/>
    <xf numFmtId="165" fontId="0" fillId="0" borderId="0" xfId="0" applyNumberFormat="1"/>
    <xf numFmtId="0" fontId="1" fillId="0" borderId="0" xfId="0" applyFont="1"/>
    <xf numFmtId="1" fontId="0" fillId="0" borderId="0" xfId="0" applyNumberFormat="1"/>
    <xf numFmtId="166" fontId="0" fillId="0" borderId="0" xfId="0" applyNumberFormat="1"/>
    <xf numFmtId="167" fontId="0" fillId="0" borderId="0" xfId="0" applyNumberFormat="1"/>
    <xf numFmtId="0" fontId="2" fillId="2" borderId="1" xfId="0" applyFont="1" applyFill="1" applyBorder="1"/>
    <xf numFmtId="166" fontId="2" fillId="2" borderId="1" xfId="0" applyNumberFormat="1" applyFont="1" applyFill="1" applyBorder="1"/>
    <xf numFmtId="1" fontId="2" fillId="2" borderId="1" xfId="0" applyNumberFormat="1" applyFont="1" applyFill="1" applyBorder="1"/>
    <xf numFmtId="0" fontId="3" fillId="0" borderId="0" xfId="0" applyFont="1"/>
  </cellXfs>
  <cellStyles count="1">
    <cellStyle name="Normal" xfId="0" builtinId="0"/>
  </cellStyles>
  <dxfs count="1">
    <dxf>
      <font>
        <color theme="0"/>
      </font>
      <fill>
        <patternFill>
          <bgColor rgb="FF002060"/>
        </patternFill>
      </fill>
    </dxf>
  </dxfs>
  <tableStyles count="3" defaultTableStyle="TableStyleMedium2" defaultPivotStyle="PivotStyleLight16">
    <tableStyle name="Slicer Style 1" pivot="0" table="0" count="0" xr9:uid="{D1D76CE2-1733-40E8-8ADC-DFCE6A86BB77}"/>
    <tableStyle name="Slicer Style 2" pivot="0" table="0" count="0" xr9:uid="{CFB39204-C074-4F25-AE85-40C2A68D7183}"/>
    <tableStyle name="Slicer Style 3" pivot="0" table="0" count="3" xr9:uid="{A4C1C231-4E28-41A6-8285-FAC0DB5C8E2E}">
      <tableStyleElement type="wholeTable" dxfId="0"/>
    </tableStyle>
  </tableStyles>
  <extLst>
    <ext xmlns:x14="http://schemas.microsoft.com/office/spreadsheetml/2009/9/main" uri="{46F421CA-312F-682f-3DD2-61675219B42D}">
      <x14:dxfs count="2">
        <dxf>
          <fill>
            <patternFill>
              <bgColor theme="4" tint="0.59996337778862885"/>
            </patternFill>
          </fill>
        </dxf>
        <dxf>
          <font>
            <color theme="0"/>
          </font>
          <fill>
            <patternFill>
              <bgColor theme="8" tint="-0.24994659260841701"/>
            </patternFill>
          </fill>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30.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[Hospitality_Dashboard.xlsx]Pivot_Analysis!PivotTable5</c:name>
    <c:fmtId val="5"/>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REVENUE BY CHANNEL</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45137144784588"/>
          <c:y val="0.19336503036726765"/>
          <c:w val="0.38938601304713089"/>
          <c:h val="0.68402416586132264"/>
        </c:manualLayout>
      </c:layout>
      <c:doughnutChart>
        <c:varyColors val="1"/>
        <c:ser>
          <c:idx val="0"/>
          <c:order val="0"/>
          <c:tx>
            <c:strRef>
              <c:f>Pivot_Analysis!$E$5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68-44E5-9973-4F1427F4F0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68-44E5-9973-4F1427F4F0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68-44E5-9973-4F1427F4F0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Pivot_Analysis!$D$6:$D$9</c:f>
              <c:strCache>
                <c:ptCount val="3"/>
                <c:pt idx="0">
                  <c:v>TravelAgent</c:v>
                </c:pt>
                <c:pt idx="1">
                  <c:v>Walk-in</c:v>
                </c:pt>
                <c:pt idx="2">
                  <c:v>Website</c:v>
                </c:pt>
              </c:strCache>
            </c:strRef>
          </c:cat>
          <c:val>
            <c:numRef>
              <c:f>Pivot_Analysis!$E$6:$E$9</c:f>
              <c:numCache>
                <c:formatCode>#,##0\ "AED";\-#,##0\ "AED";#,##0\ "AED"</c:formatCode>
                <c:ptCount val="3"/>
                <c:pt idx="0">
                  <c:v>173700</c:v>
                </c:pt>
                <c:pt idx="1">
                  <c:v>65300</c:v>
                </c:pt>
                <c:pt idx="2">
                  <c:v>293350</c:v>
                </c:pt>
              </c:numCache>
            </c:numRef>
          </c:val>
          <c:extLst>
            <c:ext xmlns:c16="http://schemas.microsoft.com/office/drawing/2014/chart" uri="{C3380CC4-5D6E-409C-BE32-E72D297353CC}">
              <c16:uniqueId val="{00000008-6FFB-44DA-A481-A8F19749BC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[Hospitality_Dashboard.xlsx]Pivot_Analysis!PivotTable6</c:name>
    <c:fmtId val="3"/>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Monthly Revenue Trend</a:t>
            </a:r>
          </a:p>
          <a:p>
            <a:pPr>
              <a:defRPr sz="1050"/>
            </a:pPr>
            <a:endParaRPr lang="en-US" sz="1050"/>
          </a:p>
        </c:rich>
      </c:tx>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0" sourceLinked="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numFmt formatCode="#,##0" sourceLinked="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Pivot_Analysis!$D$13:$D$16</c:f>
              <c:strCache>
                <c:ptCount val="3"/>
                <c:pt idx="0">
                  <c:v>Jan</c:v>
                </c:pt>
                <c:pt idx="1">
                  <c:v>Feb</c:v>
                </c:pt>
                <c:pt idx="2">
                  <c:v>Mar</c:v>
                </c:pt>
              </c:strCache>
            </c:strRef>
          </c:cat>
          <c:val>
            <c:numRef>
              <c:f>Pivot_Analysis!$E$13:$E$16</c:f>
              <c:numCache>
                <c:formatCode>#,##0\ "AED";\-#,##0\ "AED";#,##0\ "AED"</c:formatCode>
                <c:ptCount val="3"/>
                <c:pt idx="0">
                  <c:v>214000</c:v>
                </c:pt>
                <c:pt idx="1">
                  <c:v>149550</c:v>
                </c:pt>
                <c:pt idx="2">
                  <c:v>168800</c:v>
                </c:pt>
              </c:numCache>
            </c:numRef>
          </c:val>
          <c:smooth val="0"/>
          <c:extLst>
            <c:ext xmlns:c16="http://schemas.microsoft.com/office/drawing/2014/chart" uri="{C3380CC4-5D6E-409C-BE32-E72D297353CC}">
              <c16:uniqueId val="{00000001-7252-48C7-B088-B46200C262D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24749280"/>
        <c:axId val="1424745120"/>
      </c:lineChart>
      <c:catAx>
        <c:axId val="142474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24745120"/>
        <c:crosses val="autoZero"/>
        <c:auto val="1"/>
        <c:lblAlgn val="ctr"/>
        <c:lblOffset val="100"/>
        <c:noMultiLvlLbl val="0"/>
      </c:catAx>
      <c:valAx>
        <c:axId val="1424745120"/>
        <c:scaling>
          <c:orientation val="minMax"/>
        </c:scaling>
        <c:delete val="1"/>
        <c:axPos val="l"/>
        <c:numFmt formatCode="#,##0\ &quot;AED&quot;;\-#,##0\ &quot;AED&quot;;#,##0\ &quot;AED&quot;" sourceLinked="1"/>
        <c:majorTickMark val="none"/>
        <c:minorTickMark val="none"/>
        <c:tickLblPos val="nextTo"/>
        <c:crossAx val="142474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[Hospitality_Dashboard.xlsx]Pivot_Analysis!PivotTable4</c:name>
    <c:fmtId val="3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sz="1050"/>
              <a:t>REVENUE BY COUNTRY</a:t>
            </a:r>
          </a:p>
        </c:rich>
      </c:tx>
      <c:layout>
        <c:manualLayout>
          <c:xMode val="edge"/>
          <c:yMode val="edge"/>
          <c:x val="0.13655502739576908"/>
          <c:y val="4.34782608695652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6101717434204101"/>
                  <c:h val="0.1809420289855072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650104530978301"/>
                  <c:h val="0.18094202898550724"/>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70221371211973"/>
                  <c:h val="0.18094202898550724"/>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235712471424943"/>
                  <c:h val="0.18094202898550724"/>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224189787435367E-4"/>
              <c:y val="-3.6229031153714813E-3"/>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36209586704887"/>
                  <c:h val="0.13021739130434781"/>
                </c:manualLayout>
              </c15:layout>
            </c:ext>
          </c:extLst>
        </c:dLbl>
      </c:pivotFmt>
    </c:pivotFmts>
    <c:plotArea>
      <c:layout/>
      <c:barChart>
        <c:barDir val="bar"/>
        <c:grouping val="clustered"/>
        <c:varyColors val="0"/>
        <c:ser>
          <c:idx val="0"/>
          <c:order val="0"/>
          <c:tx>
            <c:strRef>
              <c:f>Pivot_Analysis!$B$12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760D-4785-AFC8-81A6E51A42A9}"/>
              </c:ext>
            </c:extLst>
          </c:dPt>
          <c:dPt>
            <c:idx val="1"/>
            <c:invertIfNegative val="0"/>
            <c:bubble3D val="0"/>
            <c:extLst>
              <c:ext xmlns:c16="http://schemas.microsoft.com/office/drawing/2014/chart" uri="{C3380CC4-5D6E-409C-BE32-E72D297353CC}">
                <c16:uniqueId val="{00000001-2B80-4E63-ABCF-DDBC19562ABA}"/>
              </c:ext>
            </c:extLst>
          </c:dPt>
          <c:dPt>
            <c:idx val="2"/>
            <c:invertIfNegative val="0"/>
            <c:bubble3D val="0"/>
            <c:extLst>
              <c:ext xmlns:c16="http://schemas.microsoft.com/office/drawing/2014/chart" uri="{C3380CC4-5D6E-409C-BE32-E72D297353CC}">
                <c16:uniqueId val="{00000002-760D-4785-AFC8-81A6E51A42A9}"/>
              </c:ext>
            </c:extLst>
          </c:dPt>
          <c:dPt>
            <c:idx val="3"/>
            <c:invertIfNegative val="0"/>
            <c:bubble3D val="0"/>
            <c:extLst>
              <c:ext xmlns:c16="http://schemas.microsoft.com/office/drawing/2014/chart" uri="{C3380CC4-5D6E-409C-BE32-E72D297353CC}">
                <c16:uniqueId val="{00000001-E211-4DEE-8F63-191B130087DB}"/>
              </c:ext>
            </c:extLst>
          </c:dPt>
          <c:dPt>
            <c:idx val="4"/>
            <c:invertIfNegative val="0"/>
            <c:bubble3D val="0"/>
            <c:extLst>
              <c:ext xmlns:c16="http://schemas.microsoft.com/office/drawing/2014/chart" uri="{C3380CC4-5D6E-409C-BE32-E72D297353CC}">
                <c16:uniqueId val="{00000004-760D-4785-AFC8-81A6E51A42A9}"/>
              </c:ext>
            </c:extLst>
          </c:dPt>
          <c:dPt>
            <c:idx val="8"/>
            <c:invertIfNegative val="0"/>
            <c:bubble3D val="0"/>
            <c:extLst>
              <c:ext xmlns:c16="http://schemas.microsoft.com/office/drawing/2014/chart" uri="{C3380CC4-5D6E-409C-BE32-E72D297353CC}">
                <c16:uniqueId val="{00000002-E211-4DEE-8F63-191B130087DB}"/>
              </c:ext>
            </c:extLst>
          </c:dPt>
          <c:dPt>
            <c:idx val="30"/>
            <c:invertIfNegative val="0"/>
            <c:bubble3D val="0"/>
            <c:extLst>
              <c:ext xmlns:c16="http://schemas.microsoft.com/office/drawing/2014/chart" uri="{C3380CC4-5D6E-409C-BE32-E72D297353CC}">
                <c16:uniqueId val="{00000003-E211-4DEE-8F63-191B130087DB}"/>
              </c:ext>
            </c:extLst>
          </c:dPt>
          <c:dPt>
            <c:idx val="31"/>
            <c:invertIfNegative val="0"/>
            <c:bubble3D val="0"/>
            <c:extLst>
              <c:ext xmlns:c16="http://schemas.microsoft.com/office/drawing/2014/chart" uri="{C3380CC4-5D6E-409C-BE32-E72D297353CC}">
                <c16:uniqueId val="{00000004-E211-4DEE-8F63-191B130087D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9650104530978301"/>
                      <c:h val="0.18094202898550724"/>
                    </c:manualLayout>
                  </c15:layout>
                </c:ext>
                <c:ext xmlns:c16="http://schemas.microsoft.com/office/drawing/2014/chart" uri="{C3380CC4-5D6E-409C-BE32-E72D297353CC}">
                  <c16:uniqueId val="{00000000-760D-4785-AFC8-81A6E51A42A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56101717434204101"/>
                      <c:h val="0.18094202898550724"/>
                    </c:manualLayout>
                  </c15:layout>
                </c:ext>
                <c:ext xmlns:c16="http://schemas.microsoft.com/office/drawing/2014/chart" uri="{C3380CC4-5D6E-409C-BE32-E72D297353CC}">
                  <c16:uniqueId val="{00000001-2B80-4E63-ABCF-DDBC19562AB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4270221371211973"/>
                      <c:h val="0.18094202898550724"/>
                    </c:manualLayout>
                  </c15:layout>
                </c:ext>
                <c:ext xmlns:c16="http://schemas.microsoft.com/office/drawing/2014/chart" uri="{C3380CC4-5D6E-409C-BE32-E72D297353CC}">
                  <c16:uniqueId val="{00000002-760D-4785-AFC8-81A6E51A42A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8235712471424943"/>
                      <c:h val="0.18094202898550724"/>
                    </c:manualLayout>
                  </c15:layout>
                </c:ext>
                <c:ext xmlns:c16="http://schemas.microsoft.com/office/drawing/2014/chart" uri="{C3380CC4-5D6E-409C-BE32-E72D297353CC}">
                  <c16:uniqueId val="{00000001-E211-4DEE-8F63-191B130087DB}"/>
                </c:ext>
              </c:extLst>
            </c:dLbl>
            <c:dLbl>
              <c:idx val="4"/>
              <c:layout>
                <c:manualLayout>
                  <c:x val="-2.6224189787435367E-4"/>
                  <c:y val="-3.622903115371481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936209586704887"/>
                      <c:h val="0.13021739130434781"/>
                    </c:manualLayout>
                  </c15:layout>
                </c:ext>
                <c:ext xmlns:c16="http://schemas.microsoft.com/office/drawing/2014/chart" uri="{C3380CC4-5D6E-409C-BE32-E72D297353CC}">
                  <c16:uniqueId val="{00000004-760D-4785-AFC8-81A6E51A42A9}"/>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Pivot_Analysis!$A$13:$A$18</c:f>
              <c:strCache>
                <c:ptCount val="5"/>
                <c:pt idx="0">
                  <c:v>Australia</c:v>
                </c:pt>
                <c:pt idx="1">
                  <c:v>Canada</c:v>
                </c:pt>
                <c:pt idx="2">
                  <c:v>Germany</c:v>
                </c:pt>
                <c:pt idx="3">
                  <c:v>UK</c:v>
                </c:pt>
                <c:pt idx="4">
                  <c:v>USA</c:v>
                </c:pt>
              </c:strCache>
            </c:strRef>
          </c:cat>
          <c:val>
            <c:numRef>
              <c:f>Pivot_Analysis!$B$13:$B$18</c:f>
              <c:numCache>
                <c:formatCode>#,##0\ "AED";\-#,##0\ "AED";#,##0\ "AED"</c:formatCode>
                <c:ptCount val="5"/>
                <c:pt idx="0">
                  <c:v>36050</c:v>
                </c:pt>
                <c:pt idx="1">
                  <c:v>23900</c:v>
                </c:pt>
                <c:pt idx="2">
                  <c:v>38200</c:v>
                </c:pt>
                <c:pt idx="3">
                  <c:v>46000</c:v>
                </c:pt>
                <c:pt idx="4">
                  <c:v>152050</c:v>
                </c:pt>
              </c:numCache>
            </c:numRef>
          </c:val>
          <c:extLst>
            <c:ext xmlns:c16="http://schemas.microsoft.com/office/drawing/2014/chart" uri="{C3380CC4-5D6E-409C-BE32-E72D297353CC}">
              <c16:uniqueId val="{00000006-90D8-40FC-ACEC-2253D3DF41DE}"/>
            </c:ext>
          </c:extLst>
        </c:ser>
        <c:dLbls>
          <c:dLblPos val="outEnd"/>
          <c:showLegendKey val="0"/>
          <c:showVal val="1"/>
          <c:showCatName val="0"/>
          <c:showSerName val="0"/>
          <c:showPercent val="0"/>
          <c:showBubbleSize val="0"/>
        </c:dLbls>
        <c:gapWidth val="150"/>
        <c:axId val="719241584"/>
        <c:axId val="727309568"/>
      </c:barChart>
      <c:catAx>
        <c:axId val="719241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309568"/>
        <c:crosses val="autoZero"/>
        <c:auto val="1"/>
        <c:lblAlgn val="ctr"/>
        <c:lblOffset val="100"/>
        <c:noMultiLvlLbl val="0"/>
      </c:catAx>
      <c:valAx>
        <c:axId val="727309568"/>
        <c:scaling>
          <c:orientation val="minMax"/>
        </c:scaling>
        <c:delete val="1"/>
        <c:axPos val="b"/>
        <c:numFmt formatCode="#,##0\ &quot;AED&quot;;\-#,##0\ &quot;AED&quot;;#,##0\ &quot;AED&quot;" sourceLinked="1"/>
        <c:majorTickMark val="none"/>
        <c:minorTickMark val="none"/>
        <c:tickLblPos val="nextTo"/>
        <c:crossAx val="71924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[Hospitality_Dashboard.xlsx]Pivot_Analysis!PivotTable3</c:name>
    <c:fmtId val="19"/>
  </c:pivotSource>
  <c:chart>
    <c:title>
      <c:tx>
        <c:rich>
          <a:bodyPr rot="0" spcFirstLastPara="1" vertOverflow="ellipsis" vert="horz" wrap="square" anchor="ctr" anchorCtr="1"/>
          <a:lstStyle/>
          <a:p>
            <a:pPr>
              <a:defRPr sz="1050" b="1" i="0" u="none" strike="noStrike" kern="1200" cap="all" spc="50" baseline="0">
                <a:solidFill>
                  <a:schemeClr val="bg1"/>
                </a:solidFill>
                <a:latin typeface="+mn-lt"/>
                <a:ea typeface="+mn-ea"/>
                <a:cs typeface="+mn-cs"/>
              </a:defRPr>
            </a:pPr>
            <a:r>
              <a:rPr lang="en-US" sz="1050"/>
              <a:t>REVENUE BY ROOM TYPE</a:t>
            </a: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aseline="0"/>
                  <a:t> </a:t>
                </a:r>
                <a:fld id="{C5A14E21-D033-4E20-92C9-140B7E9F19F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aseline="0"/>
                  <a:t> </a:t>
                </a:r>
                <a:fld id="{31269E00-C3FD-46A1-8A35-3D33469C717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aseline="0"/>
                  <a:t> </a:t>
                </a:r>
                <a:fld id="{3DCCCA84-85FD-40D6-BC70-367E718F362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6193853427895979E-2"/>
          <c:y val="0.21780918727915194"/>
          <c:w val="0.89598108747044913"/>
          <c:h val="0.6172315739684483"/>
        </c:manualLayout>
      </c:layout>
      <c:pieChart>
        <c:varyColors val="1"/>
        <c:ser>
          <c:idx val="0"/>
          <c:order val="0"/>
          <c:tx>
            <c:strRef>
              <c:f>Pivot_Analysis!$B$5</c:f>
              <c:strCache>
                <c:ptCount val="1"/>
                <c:pt idx="0">
                  <c:v>Total Revenue (AED)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28C-485C-9C5F-495754C8AAC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28C-485C-9C5F-495754C8AAC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428C-485C-9C5F-495754C8AAC5}"/>
              </c:ext>
            </c:extLst>
          </c:dPt>
          <c:dLbls>
            <c:dLbl>
              <c:idx val="0"/>
              <c:tx>
                <c:rich>
                  <a:bodyPr/>
                  <a:lstStyle/>
                  <a:p>
                    <a:r>
                      <a:rPr lang="en-US" baseline="0"/>
                      <a:t> </a:t>
                    </a:r>
                    <a:fld id="{31269E00-C3FD-46A1-8A35-3D33469C717B}"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28C-485C-9C5F-495754C8AAC5}"/>
                </c:ext>
              </c:extLst>
            </c:dLbl>
            <c:dLbl>
              <c:idx val="1"/>
              <c:tx>
                <c:rich>
                  <a:bodyPr/>
                  <a:lstStyle/>
                  <a:p>
                    <a:r>
                      <a:rPr lang="en-US" baseline="0"/>
                      <a:t> </a:t>
                    </a:r>
                    <a:fld id="{3DCCCA84-85FD-40D6-BC70-367E718F3628}"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28C-485C-9C5F-495754C8AAC5}"/>
                </c:ext>
              </c:extLst>
            </c:dLbl>
            <c:dLbl>
              <c:idx val="2"/>
              <c:tx>
                <c:rich>
                  <a:bodyPr/>
                  <a:lstStyle/>
                  <a:p>
                    <a:r>
                      <a:rPr lang="en-US" baseline="0"/>
                      <a:t> </a:t>
                    </a:r>
                    <a:fld id="{C5A14E21-D033-4E20-92C9-140B7E9F19F4}"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28C-485C-9C5F-495754C8AA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Pivot_Analysis!$A$6:$A$9</c:f>
              <c:strCache>
                <c:ptCount val="3"/>
                <c:pt idx="0">
                  <c:v>Deluxe</c:v>
                </c:pt>
                <c:pt idx="1">
                  <c:v>Standard</c:v>
                </c:pt>
                <c:pt idx="2">
                  <c:v>Suite</c:v>
                </c:pt>
              </c:strCache>
            </c:strRef>
          </c:cat>
          <c:val>
            <c:numRef>
              <c:f>Pivot_Analysis!$B$6:$B$9</c:f>
              <c:numCache>
                <c:formatCode>#,##0\ "AED";\-#,##0\ "AED";#,##0\ "AED"</c:formatCode>
                <c:ptCount val="3"/>
                <c:pt idx="0">
                  <c:v>121500</c:v>
                </c:pt>
                <c:pt idx="1">
                  <c:v>66150</c:v>
                </c:pt>
                <c:pt idx="2">
                  <c:v>344700</c:v>
                </c:pt>
              </c:numCache>
            </c:numRef>
          </c:val>
          <c:extLst>
            <c:ext xmlns:c16="http://schemas.microsoft.com/office/drawing/2014/chart" uri="{C3380CC4-5D6E-409C-BE32-E72D297353CC}">
              <c16:uniqueId val="{00000001-428C-485C-9C5F-495754C8AAC5}"/>
            </c:ext>
          </c:extLst>
        </c:ser>
        <c:ser>
          <c:idx val="1"/>
          <c:order val="1"/>
          <c:tx>
            <c:strRef>
              <c:f>Pivot_Analysis!$C$5</c:f>
              <c:strCache>
                <c:ptCount val="1"/>
                <c:pt idx="0">
                  <c:v>Revenue Persentage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D67-446B-9BDA-5338C74DE1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D67-446B-9BDA-5338C74DE1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D67-446B-9BDA-5338C74DE1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Pivot_Analysis!$A$6:$A$9</c:f>
              <c:strCache>
                <c:ptCount val="3"/>
                <c:pt idx="0">
                  <c:v>Deluxe</c:v>
                </c:pt>
                <c:pt idx="1">
                  <c:v>Standard</c:v>
                </c:pt>
                <c:pt idx="2">
                  <c:v>Suite</c:v>
                </c:pt>
              </c:strCache>
            </c:strRef>
          </c:cat>
          <c:val>
            <c:numRef>
              <c:f>Pivot_Analysis!$C$6:$C$9</c:f>
              <c:numCache>
                <c:formatCode>0%;\-0%;0%</c:formatCode>
                <c:ptCount val="3"/>
                <c:pt idx="0">
                  <c:v>0.22823330515638207</c:v>
                </c:pt>
                <c:pt idx="1">
                  <c:v>0.1242603550295858</c:v>
                </c:pt>
                <c:pt idx="2">
                  <c:v>0.64750633981403216</c:v>
                </c:pt>
              </c:numCache>
            </c:numRef>
          </c:val>
          <c:extLst>
            <c:ext xmlns:c16="http://schemas.microsoft.com/office/drawing/2014/chart" uri="{C3380CC4-5D6E-409C-BE32-E72D297353CC}">
              <c16:uniqueId val="{00000003-428C-485C-9C5F-495754C8AA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393700</xdr:colOff>
      <xdr:row>34</xdr:row>
      <xdr:rowOff>178593</xdr:rowOff>
    </xdr:to>
    <xdr:sp macro="" textlink="">
      <xdr:nvSpPr>
        <xdr:cNvPr id="23" name="TextBox 22">
          <a:extLst>
            <a:ext uri="{FF2B5EF4-FFF2-40B4-BE49-F238E27FC236}">
              <a16:creationId xmlns:a16="http://schemas.microsoft.com/office/drawing/2014/main" id="{F35EE4E5-74D3-4193-BE9E-238229D0A12A}"/>
            </a:ext>
          </a:extLst>
        </xdr:cNvPr>
        <xdr:cNvSpPr txBox="1"/>
      </xdr:nvSpPr>
      <xdr:spPr>
        <a:xfrm>
          <a:off x="0" y="0"/>
          <a:ext cx="11955992" cy="647567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6350</xdr:colOff>
      <xdr:row>0</xdr:row>
      <xdr:rowOff>0</xdr:rowOff>
    </xdr:from>
    <xdr:to>
      <xdr:col>19</xdr:col>
      <xdr:colOff>400050</xdr:colOff>
      <xdr:row>2</xdr:row>
      <xdr:rowOff>95250</xdr:rowOff>
    </xdr:to>
    <xdr:sp macro="" textlink="">
      <xdr:nvSpPr>
        <xdr:cNvPr id="2" name="TextBox 1">
          <a:extLst>
            <a:ext uri="{FF2B5EF4-FFF2-40B4-BE49-F238E27FC236}">
              <a16:creationId xmlns:a16="http://schemas.microsoft.com/office/drawing/2014/main" id="{5B4C80A7-D2D2-46A2-8965-FAF0ED89467B}"/>
            </a:ext>
          </a:extLst>
        </xdr:cNvPr>
        <xdr:cNvSpPr txBox="1"/>
      </xdr:nvSpPr>
      <xdr:spPr>
        <a:xfrm>
          <a:off x="6350" y="0"/>
          <a:ext cx="11976100" cy="463550"/>
        </a:xfrm>
        <a:prstGeom prst="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38100" dist="19050" dir="2700000" algn="tl" rotWithShape="0">
                  <a:schemeClr val="dk1">
                    <a:alpha val="40000"/>
                  </a:schemeClr>
                </a:outerShdw>
              </a:effectLst>
              <a:latin typeface="Copperplate Gothic Bold" panose="020E0705020206020404" pitchFamily="34" charset="0"/>
              <a:ea typeface="+mn-ea"/>
              <a:cs typeface="+mn-cs"/>
            </a:rPr>
            <a:t>Hotel Performance Dashboard</a:t>
          </a:r>
        </a:p>
      </xdr:txBody>
    </xdr:sp>
    <xdr:clientData/>
  </xdr:twoCellAnchor>
  <xdr:twoCellAnchor>
    <xdr:from>
      <xdr:col>0</xdr:col>
      <xdr:colOff>6349</xdr:colOff>
      <xdr:row>3</xdr:row>
      <xdr:rowOff>19050</xdr:rowOff>
    </xdr:from>
    <xdr:to>
      <xdr:col>3</xdr:col>
      <xdr:colOff>63750</xdr:colOff>
      <xdr:row>6</xdr:row>
      <xdr:rowOff>133350</xdr:rowOff>
    </xdr:to>
    <xdr:sp macro="" textlink="">
      <xdr:nvSpPr>
        <xdr:cNvPr id="3" name="TextBox 2">
          <a:extLst>
            <a:ext uri="{FF2B5EF4-FFF2-40B4-BE49-F238E27FC236}">
              <a16:creationId xmlns:a16="http://schemas.microsoft.com/office/drawing/2014/main" id="{59DE80E5-6AD6-42E6-985C-68E45C3EC10E}"/>
            </a:ext>
          </a:extLst>
        </xdr:cNvPr>
        <xdr:cNvSpPr txBox="1"/>
      </xdr:nvSpPr>
      <xdr:spPr>
        <a:xfrm>
          <a:off x="6349" y="571500"/>
          <a:ext cx="1886201" cy="666750"/>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bg1"/>
              </a:solidFill>
              <a:effectLst/>
              <a:latin typeface="Arial Rounded MT Bold" panose="020F0704030504030204" pitchFamily="34" charset="0"/>
              <a:ea typeface="+mn-ea"/>
              <a:cs typeface="+mn-cs"/>
            </a:rPr>
            <a:t>Total Revenue</a:t>
          </a:r>
          <a:r>
            <a:rPr lang="en-US">
              <a:solidFill>
                <a:schemeClr val="bg1"/>
              </a:solidFill>
              <a:latin typeface="Arial Rounded MT Bold" panose="020F0704030504030204" pitchFamily="34" charset="0"/>
            </a:rPr>
            <a:t>(AED)</a:t>
          </a:r>
          <a:endParaRPr lang="en-US" sz="1100">
            <a:solidFill>
              <a:schemeClr val="bg1"/>
            </a:solidFill>
            <a:latin typeface="Arial Rounded MT Bold" panose="020F0704030504030204" pitchFamily="34" charset="0"/>
          </a:endParaRPr>
        </a:p>
      </xdr:txBody>
    </xdr:sp>
    <xdr:clientData/>
  </xdr:twoCellAnchor>
  <xdr:twoCellAnchor>
    <xdr:from>
      <xdr:col>3</xdr:col>
      <xdr:colOff>126998</xdr:colOff>
      <xdr:row>3</xdr:row>
      <xdr:rowOff>6349</xdr:rowOff>
    </xdr:from>
    <xdr:to>
      <xdr:col>5</xdr:col>
      <xdr:colOff>443176</xdr:colOff>
      <xdr:row>6</xdr:row>
      <xdr:rowOff>132346</xdr:rowOff>
    </xdr:to>
    <xdr:sp macro="" textlink="">
      <xdr:nvSpPr>
        <xdr:cNvPr id="4" name="TextBox 3">
          <a:extLst>
            <a:ext uri="{FF2B5EF4-FFF2-40B4-BE49-F238E27FC236}">
              <a16:creationId xmlns:a16="http://schemas.microsoft.com/office/drawing/2014/main" id="{F81F5ED5-C4CB-47A9-B915-B422E2BC569D}"/>
            </a:ext>
          </a:extLst>
        </xdr:cNvPr>
        <xdr:cNvSpPr txBox="1"/>
      </xdr:nvSpPr>
      <xdr:spPr>
        <a:xfrm>
          <a:off x="1952623" y="561974"/>
          <a:ext cx="1533261" cy="681622"/>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Arial Rounded MT Bold" panose="020F0704030504030204" pitchFamily="34" charset="0"/>
              <a:ea typeface="+mn-ea"/>
              <a:cs typeface="+mn-cs"/>
            </a:rPr>
            <a:t> Total Reservations</a:t>
          </a:r>
          <a:r>
            <a:rPr lang="en-US">
              <a:solidFill>
                <a:schemeClr val="bg1"/>
              </a:solidFill>
              <a:latin typeface="Arial Rounded MT Bold" panose="020F0704030504030204" pitchFamily="34" charset="0"/>
            </a:rPr>
            <a:t> </a:t>
          </a:r>
          <a:endParaRPr lang="en-US" sz="1100">
            <a:solidFill>
              <a:schemeClr val="bg1"/>
            </a:solidFill>
            <a:latin typeface="Arial Rounded MT Bold" panose="020F0704030504030204" pitchFamily="34" charset="0"/>
          </a:endParaRPr>
        </a:p>
      </xdr:txBody>
    </xdr:sp>
    <xdr:clientData/>
  </xdr:twoCellAnchor>
  <xdr:twoCellAnchor>
    <xdr:from>
      <xdr:col>5</xdr:col>
      <xdr:colOff>599015</xdr:colOff>
      <xdr:row>3</xdr:row>
      <xdr:rowOff>18785</xdr:rowOff>
    </xdr:from>
    <xdr:to>
      <xdr:col>9</xdr:col>
      <xdr:colOff>244739</xdr:colOff>
      <xdr:row>6</xdr:row>
      <xdr:rowOff>157538</xdr:rowOff>
    </xdr:to>
    <xdr:sp macro="" textlink="">
      <xdr:nvSpPr>
        <xdr:cNvPr id="5" name="TextBox 4">
          <a:extLst>
            <a:ext uri="{FF2B5EF4-FFF2-40B4-BE49-F238E27FC236}">
              <a16:creationId xmlns:a16="http://schemas.microsoft.com/office/drawing/2014/main" id="{D00E1800-D26F-4882-8AB4-3364DE951E0D}"/>
            </a:ext>
          </a:extLst>
        </xdr:cNvPr>
        <xdr:cNvSpPr txBox="1"/>
      </xdr:nvSpPr>
      <xdr:spPr>
        <a:xfrm>
          <a:off x="3641723" y="574410"/>
          <a:ext cx="2079891" cy="694378"/>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Arial Rounded MT Bold" panose="020F0704030504030204" pitchFamily="34" charset="0"/>
              <a:ea typeface="+mn-ea"/>
              <a:cs typeface="+mn-cs"/>
            </a:rPr>
            <a:t>Avg Revenue</a:t>
          </a:r>
          <a:r>
            <a:rPr lang="en-US" sz="1100" b="1" i="0" u="none" strike="noStrike" baseline="0">
              <a:solidFill>
                <a:schemeClr val="bg1"/>
              </a:solidFill>
              <a:effectLst/>
              <a:latin typeface="Arial Rounded MT Bold" panose="020F0704030504030204" pitchFamily="34" charset="0"/>
              <a:ea typeface="+mn-ea"/>
              <a:cs typeface="+mn-cs"/>
            </a:rPr>
            <a:t> per </a:t>
          </a:r>
          <a:r>
            <a:rPr lang="en-US" sz="1100" b="1" i="0" u="none" strike="noStrike">
              <a:solidFill>
                <a:schemeClr val="bg1"/>
              </a:solidFill>
              <a:effectLst/>
              <a:latin typeface="Arial Rounded MT Bold" panose="020F0704030504030204" pitchFamily="34" charset="0"/>
              <a:ea typeface="+mn-ea"/>
              <a:cs typeface="+mn-cs"/>
            </a:rPr>
            <a:t>Booking</a:t>
          </a:r>
          <a:r>
            <a:rPr lang="en-US">
              <a:solidFill>
                <a:schemeClr val="bg1"/>
              </a:solidFill>
              <a:latin typeface="Arial Rounded MT Bold" panose="020F0704030504030204" pitchFamily="34" charset="0"/>
            </a:rPr>
            <a:t> </a:t>
          </a:r>
          <a:endParaRPr lang="en-US" sz="1100" b="1">
            <a:solidFill>
              <a:schemeClr val="bg1"/>
            </a:solidFill>
            <a:latin typeface="Arial Rounded MT Bold" panose="020F0704030504030204" pitchFamily="34" charset="0"/>
          </a:endParaRPr>
        </a:p>
      </xdr:txBody>
    </xdr:sp>
    <xdr:clientData/>
  </xdr:twoCellAnchor>
  <xdr:twoCellAnchor>
    <xdr:from>
      <xdr:col>9</xdr:col>
      <xdr:colOff>377032</xdr:colOff>
      <xdr:row>3</xdr:row>
      <xdr:rowOff>12964</xdr:rowOff>
    </xdr:from>
    <xdr:to>
      <xdr:col>12</xdr:col>
      <xdr:colOff>433415</xdr:colOff>
      <xdr:row>6</xdr:row>
      <xdr:rowOff>138961</xdr:rowOff>
    </xdr:to>
    <xdr:sp macro="" textlink="">
      <xdr:nvSpPr>
        <xdr:cNvPr id="6" name="TextBox 5">
          <a:extLst>
            <a:ext uri="{FF2B5EF4-FFF2-40B4-BE49-F238E27FC236}">
              <a16:creationId xmlns:a16="http://schemas.microsoft.com/office/drawing/2014/main" id="{87B4C19C-CB87-4273-A777-93148D823A13}"/>
            </a:ext>
          </a:extLst>
        </xdr:cNvPr>
        <xdr:cNvSpPr txBox="1"/>
      </xdr:nvSpPr>
      <xdr:spPr>
        <a:xfrm>
          <a:off x="5853907" y="568589"/>
          <a:ext cx="1882008" cy="681622"/>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bg1"/>
              </a:solidFill>
              <a:effectLst/>
              <a:latin typeface="Arial Rounded MT Bold" panose="020F0704030504030204" pitchFamily="34" charset="0"/>
              <a:ea typeface="+mn-ea"/>
              <a:cs typeface="+mn-cs"/>
            </a:rPr>
            <a:t>Room </a:t>
          </a:r>
          <a:r>
            <a:rPr lang="en-US" sz="1100" b="1" i="0" u="none" strike="noStrike" baseline="0">
              <a:solidFill>
                <a:schemeClr val="bg1"/>
              </a:solidFill>
              <a:effectLst/>
              <a:latin typeface="Arial Rounded MT Bold" panose="020F0704030504030204" pitchFamily="34" charset="0"/>
              <a:ea typeface="+mn-ea"/>
              <a:cs typeface="+mn-cs"/>
            </a:rPr>
            <a:t> </a:t>
          </a:r>
          <a:r>
            <a:rPr lang="en-US" sz="1100" b="1" i="0" u="none" strike="noStrike">
              <a:solidFill>
                <a:schemeClr val="bg1"/>
              </a:solidFill>
              <a:effectLst/>
              <a:latin typeface="Arial Rounded MT Bold" panose="020F0704030504030204" pitchFamily="34" charset="0"/>
              <a:ea typeface="+mn-ea"/>
              <a:cs typeface="+mn-cs"/>
            </a:rPr>
            <a:t>Nights Sold </a:t>
          </a:r>
          <a:endParaRPr lang="en-US" sz="1100">
            <a:solidFill>
              <a:schemeClr val="bg1"/>
            </a:solidFill>
            <a:latin typeface="Arial Rounded MT Bold" panose="020F0704030504030204" pitchFamily="34" charset="0"/>
          </a:endParaRPr>
        </a:p>
      </xdr:txBody>
    </xdr:sp>
    <xdr:clientData/>
  </xdr:twoCellAnchor>
  <xdr:twoCellAnchor>
    <xdr:from>
      <xdr:col>12</xdr:col>
      <xdr:colOff>529431</xdr:colOff>
      <xdr:row>3</xdr:row>
      <xdr:rowOff>19578</xdr:rowOff>
    </xdr:from>
    <xdr:to>
      <xdr:col>15</xdr:col>
      <xdr:colOff>324699</xdr:colOff>
      <xdr:row>6</xdr:row>
      <xdr:rowOff>145575</xdr:rowOff>
    </xdr:to>
    <xdr:sp macro="" textlink="">
      <xdr:nvSpPr>
        <xdr:cNvPr id="7" name="TextBox 6">
          <a:extLst>
            <a:ext uri="{FF2B5EF4-FFF2-40B4-BE49-F238E27FC236}">
              <a16:creationId xmlns:a16="http://schemas.microsoft.com/office/drawing/2014/main" id="{96C996EA-B7DD-43F7-8407-513B9FB9F43A}"/>
            </a:ext>
          </a:extLst>
        </xdr:cNvPr>
        <xdr:cNvSpPr txBox="1"/>
      </xdr:nvSpPr>
      <xdr:spPr>
        <a:xfrm>
          <a:off x="7831931" y="575203"/>
          <a:ext cx="1620893" cy="681622"/>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Arial Rounded MT Bold" panose="020F0704030504030204" pitchFamily="34" charset="0"/>
              <a:ea typeface="+mn-ea"/>
              <a:cs typeface="+mn-cs"/>
            </a:rPr>
            <a:t>    Avg Length of Stay</a:t>
          </a:r>
          <a:endParaRPr lang="en-US" sz="1100" b="1">
            <a:solidFill>
              <a:schemeClr val="bg1"/>
            </a:solidFill>
            <a:latin typeface="Arial Rounded MT Bold" panose="020F0704030504030204" pitchFamily="34" charset="0"/>
          </a:endParaRPr>
        </a:p>
      </xdr:txBody>
    </xdr:sp>
    <xdr:clientData/>
  </xdr:twoCellAnchor>
  <xdr:twoCellAnchor>
    <xdr:from>
      <xdr:col>15</xdr:col>
      <xdr:colOff>453496</xdr:colOff>
      <xdr:row>3</xdr:row>
      <xdr:rowOff>0</xdr:rowOff>
    </xdr:from>
    <xdr:to>
      <xdr:col>18</xdr:col>
      <xdr:colOff>580496</xdr:colOff>
      <xdr:row>6</xdr:row>
      <xdr:rowOff>149392</xdr:rowOff>
    </xdr:to>
    <xdr:sp macro="" textlink="">
      <xdr:nvSpPr>
        <xdr:cNvPr id="8" name="TextBox 7">
          <a:extLst>
            <a:ext uri="{FF2B5EF4-FFF2-40B4-BE49-F238E27FC236}">
              <a16:creationId xmlns:a16="http://schemas.microsoft.com/office/drawing/2014/main" id="{B3960D2F-624B-4A5D-B5C1-3EA98EBBB94B}"/>
            </a:ext>
          </a:extLst>
        </xdr:cNvPr>
        <xdr:cNvSpPr txBox="1"/>
      </xdr:nvSpPr>
      <xdr:spPr>
        <a:xfrm>
          <a:off x="9581621" y="555625"/>
          <a:ext cx="1952625" cy="705017"/>
        </a:xfrm>
        <a:prstGeom prst="rect">
          <a:avLst/>
        </a:prstGeom>
        <a:solidFill>
          <a:srgbClr val="002060"/>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baseline="0">
              <a:solidFill>
                <a:schemeClr val="bg1"/>
              </a:solidFill>
              <a:effectLst/>
              <a:latin typeface="Arial Rounded MT Bold" panose="020F0704030504030204" pitchFamily="34" charset="0"/>
              <a:ea typeface="+mn-ea"/>
              <a:cs typeface="+mn-cs"/>
            </a:rPr>
            <a:t>Avg Daily Rate (ADR) </a:t>
          </a:r>
          <a:endParaRPr lang="en-US" sz="1100">
            <a:solidFill>
              <a:schemeClr val="bg1"/>
            </a:solidFill>
            <a:latin typeface="Arial Rounded MT Bold" panose="020F0704030504030204" pitchFamily="34" charset="0"/>
          </a:endParaRPr>
        </a:p>
      </xdr:txBody>
    </xdr:sp>
    <xdr:clientData/>
  </xdr:twoCellAnchor>
  <xdr:oneCellAnchor>
    <xdr:from>
      <xdr:col>1</xdr:col>
      <xdr:colOff>101600</xdr:colOff>
      <xdr:row>6</xdr:row>
      <xdr:rowOff>165100</xdr:rowOff>
    </xdr:from>
    <xdr:ext cx="184731" cy="264560"/>
    <xdr:sp macro="" textlink="">
      <xdr:nvSpPr>
        <xdr:cNvPr id="9" name="TextBox 8">
          <a:extLst>
            <a:ext uri="{FF2B5EF4-FFF2-40B4-BE49-F238E27FC236}">
              <a16:creationId xmlns:a16="http://schemas.microsoft.com/office/drawing/2014/main" id="{62092546-A175-45DD-A1BB-F2B565B3836A}"/>
            </a:ext>
          </a:extLst>
        </xdr:cNvPr>
        <xdr:cNvSpPr txBox="1"/>
      </xdr:nvSpPr>
      <xdr:spPr>
        <a:xfrm>
          <a:off x="711200" y="127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501650</xdr:colOff>
      <xdr:row>4</xdr:row>
      <xdr:rowOff>139700</xdr:rowOff>
    </xdr:from>
    <xdr:to>
      <xdr:col>4</xdr:col>
      <xdr:colOff>501650</xdr:colOff>
      <xdr:row>6</xdr:row>
      <xdr:rowOff>38099</xdr:rowOff>
    </xdr:to>
    <xdr:sp macro="" textlink="Pivot_Analysis!H11">
      <xdr:nvSpPr>
        <xdr:cNvPr id="10" name="TextBox 9">
          <a:extLst>
            <a:ext uri="{FF2B5EF4-FFF2-40B4-BE49-F238E27FC236}">
              <a16:creationId xmlns:a16="http://schemas.microsoft.com/office/drawing/2014/main" id="{DFA1DB18-E854-4347-B162-1C4CDDB42BC8}"/>
            </a:ext>
          </a:extLst>
        </xdr:cNvPr>
        <xdr:cNvSpPr txBox="1"/>
      </xdr:nvSpPr>
      <xdr:spPr>
        <a:xfrm>
          <a:off x="2330450" y="876300"/>
          <a:ext cx="609600" cy="266699"/>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9344AD-FA90-4932-B211-D2694CFB0AE2}" type="TxLink">
            <a:rPr lang="en-US" sz="1100" b="0" i="0" u="none" strike="noStrike">
              <a:solidFill>
                <a:srgbClr val="000000"/>
              </a:solidFill>
              <a:latin typeface="Calibri"/>
              <a:ea typeface="Calibri"/>
              <a:cs typeface="Calibri"/>
            </a:rPr>
            <a:pPr algn="ctr"/>
            <a:t>95</a:t>
          </a:fld>
          <a:endParaRPr lang="en-US" sz="1100" b="1">
            <a:solidFill>
              <a:srgbClr val="002060"/>
            </a:solidFill>
            <a:latin typeface="Arial Rounded MT Bold" panose="020F0704030504030204" pitchFamily="34" charset="0"/>
          </a:endParaRPr>
        </a:p>
      </xdr:txBody>
    </xdr:sp>
    <xdr:clientData/>
  </xdr:twoCellAnchor>
  <xdr:twoCellAnchor>
    <xdr:from>
      <xdr:col>6</xdr:col>
      <xdr:colOff>301095</xdr:colOff>
      <xdr:row>4</xdr:row>
      <xdr:rowOff>137510</xdr:rowOff>
    </xdr:from>
    <xdr:to>
      <xdr:col>8</xdr:col>
      <xdr:colOff>199496</xdr:colOff>
      <xdr:row>6</xdr:row>
      <xdr:rowOff>84401</xdr:rowOff>
    </xdr:to>
    <xdr:sp macro="" textlink="Pivot_Analysis!H13">
      <xdr:nvSpPr>
        <xdr:cNvPr id="11" name="TextBox 10">
          <a:extLst>
            <a:ext uri="{FF2B5EF4-FFF2-40B4-BE49-F238E27FC236}">
              <a16:creationId xmlns:a16="http://schemas.microsoft.com/office/drawing/2014/main" id="{84B5CCDF-5D03-4CEB-9BDB-03EEA07DCEB1}"/>
            </a:ext>
          </a:extLst>
        </xdr:cNvPr>
        <xdr:cNvSpPr txBox="1"/>
      </xdr:nvSpPr>
      <xdr:spPr>
        <a:xfrm>
          <a:off x="3952345" y="878343"/>
          <a:ext cx="1115484" cy="317308"/>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1A9C09-192D-44E5-B0C5-B98A694C0A31}" type="TxLink">
            <a:rPr lang="en-US" sz="1100" b="0" i="0" u="none" strike="noStrike">
              <a:solidFill>
                <a:srgbClr val="000000"/>
              </a:solidFill>
              <a:latin typeface="Calibri"/>
              <a:ea typeface="Calibri"/>
              <a:cs typeface="Calibri"/>
            </a:rPr>
            <a:pPr algn="ctr"/>
            <a:t> AED 5,603.68 </a:t>
          </a:fld>
          <a:endParaRPr lang="en-US" sz="1100" b="1">
            <a:solidFill>
              <a:srgbClr val="002060"/>
            </a:solidFill>
            <a:latin typeface="Arial Rounded MT Bold" panose="020F0704030504030204" pitchFamily="34" charset="0"/>
          </a:endParaRPr>
        </a:p>
      </xdr:txBody>
    </xdr:sp>
    <xdr:clientData/>
  </xdr:twoCellAnchor>
  <xdr:twoCellAnchor>
    <xdr:from>
      <xdr:col>10</xdr:col>
      <xdr:colOff>404019</xdr:colOff>
      <xdr:row>4</xdr:row>
      <xdr:rowOff>148085</xdr:rowOff>
    </xdr:from>
    <xdr:to>
      <xdr:col>11</xdr:col>
      <xdr:colOff>466109</xdr:colOff>
      <xdr:row>6</xdr:row>
      <xdr:rowOff>32808</xdr:rowOff>
    </xdr:to>
    <xdr:sp macro="" textlink="Pivot_Analysis!H12">
      <xdr:nvSpPr>
        <xdr:cNvPr id="12" name="TextBox 11">
          <a:extLst>
            <a:ext uri="{FF2B5EF4-FFF2-40B4-BE49-F238E27FC236}">
              <a16:creationId xmlns:a16="http://schemas.microsoft.com/office/drawing/2014/main" id="{1E38925D-CA4F-4057-8B2F-97CE06B831D1}"/>
            </a:ext>
          </a:extLst>
        </xdr:cNvPr>
        <xdr:cNvSpPr txBox="1"/>
      </xdr:nvSpPr>
      <xdr:spPr>
        <a:xfrm>
          <a:off x="6489436" y="888918"/>
          <a:ext cx="670631" cy="255140"/>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085F03-2BE2-49B7-97EB-EF7846382651}" type="TxLink">
            <a:rPr lang="en-US" sz="1100" b="0" i="0" u="none" strike="noStrike">
              <a:solidFill>
                <a:srgbClr val="000000"/>
              </a:solidFill>
              <a:latin typeface="Calibri"/>
              <a:ea typeface="Calibri"/>
              <a:cs typeface="Calibri"/>
            </a:rPr>
            <a:pPr algn="ctr"/>
            <a:t>279</a:t>
          </a:fld>
          <a:endParaRPr lang="en-US" sz="1100" b="1">
            <a:solidFill>
              <a:srgbClr val="002060"/>
            </a:solidFill>
            <a:latin typeface="Arial Rounded MT Bold" panose="020F0704030504030204" pitchFamily="34" charset="0"/>
          </a:endParaRPr>
        </a:p>
      </xdr:txBody>
    </xdr:sp>
    <xdr:clientData/>
  </xdr:twoCellAnchor>
  <xdr:twoCellAnchor>
    <xdr:from>
      <xdr:col>13</xdr:col>
      <xdr:colOff>290776</xdr:colOff>
      <xdr:row>4</xdr:row>
      <xdr:rowOff>140942</xdr:rowOff>
    </xdr:from>
    <xdr:to>
      <xdr:col>14</xdr:col>
      <xdr:colOff>273844</xdr:colOff>
      <xdr:row>6</xdr:row>
      <xdr:rowOff>25665</xdr:rowOff>
    </xdr:to>
    <xdr:sp macro="" textlink="Pivot_Analysis!H15">
      <xdr:nvSpPr>
        <xdr:cNvPr id="13" name="TextBox 12">
          <a:extLst>
            <a:ext uri="{FF2B5EF4-FFF2-40B4-BE49-F238E27FC236}">
              <a16:creationId xmlns:a16="http://schemas.microsoft.com/office/drawing/2014/main" id="{9CCF172E-06E9-46E1-A3D9-74AEA4E2B0DC}"/>
            </a:ext>
          </a:extLst>
        </xdr:cNvPr>
        <xdr:cNvSpPr txBox="1"/>
      </xdr:nvSpPr>
      <xdr:spPr>
        <a:xfrm>
          <a:off x="8201818" y="881775"/>
          <a:ext cx="591609" cy="255140"/>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F77931-8686-45E5-9C32-A715493BF0F6}" type="TxLink">
            <a:rPr lang="en-US" sz="1100" b="0" i="0" u="none" strike="noStrike">
              <a:solidFill>
                <a:srgbClr val="000000"/>
              </a:solidFill>
              <a:latin typeface="Calibri"/>
              <a:ea typeface="Calibri"/>
              <a:cs typeface="Calibri"/>
            </a:rPr>
            <a:pPr algn="ctr"/>
            <a:t>3</a:t>
          </a:fld>
          <a:endParaRPr lang="en-US" sz="1100" b="1">
            <a:solidFill>
              <a:srgbClr val="002060"/>
            </a:solidFill>
            <a:latin typeface="Arial Rounded MT Bold" panose="020F0704030504030204" pitchFamily="34" charset="0"/>
          </a:endParaRPr>
        </a:p>
      </xdr:txBody>
    </xdr:sp>
    <xdr:clientData/>
  </xdr:twoCellAnchor>
  <xdr:twoCellAnchor>
    <xdr:from>
      <xdr:col>16</xdr:col>
      <xdr:colOff>209550</xdr:colOff>
      <xdr:row>4</xdr:row>
      <xdr:rowOff>121805</xdr:rowOff>
    </xdr:from>
    <xdr:to>
      <xdr:col>18</xdr:col>
      <xdr:colOff>69850</xdr:colOff>
      <xdr:row>6</xdr:row>
      <xdr:rowOff>76200</xdr:rowOff>
    </xdr:to>
    <xdr:sp macro="" textlink="Pivot_Analysis!H14">
      <xdr:nvSpPr>
        <xdr:cNvPr id="14" name="TextBox 13">
          <a:extLst>
            <a:ext uri="{FF2B5EF4-FFF2-40B4-BE49-F238E27FC236}">
              <a16:creationId xmlns:a16="http://schemas.microsoft.com/office/drawing/2014/main" id="{AAC51AD9-9795-4728-B1AF-F73B7E1C75CA}"/>
            </a:ext>
          </a:extLst>
        </xdr:cNvPr>
        <xdr:cNvSpPr txBox="1"/>
      </xdr:nvSpPr>
      <xdr:spPr>
        <a:xfrm>
          <a:off x="9946217" y="862638"/>
          <a:ext cx="1077383" cy="324812"/>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13C0EA-3B60-412E-A27E-573DCBA1447D}" type="TxLink">
            <a:rPr lang="en-US" sz="1100" b="0" i="0" u="none" strike="noStrike">
              <a:solidFill>
                <a:srgbClr val="000000"/>
              </a:solidFill>
              <a:latin typeface="Calibri"/>
              <a:ea typeface="Calibri"/>
              <a:cs typeface="Calibri"/>
            </a:rPr>
            <a:pPr algn="ctr"/>
            <a:t> AED 1,908.06 </a:t>
          </a:fld>
          <a:endParaRPr lang="en-US" sz="1100" b="1">
            <a:solidFill>
              <a:srgbClr val="002060"/>
            </a:solidFill>
            <a:latin typeface="Arial Rounded MT Bold" panose="020F0704030504030204" pitchFamily="34" charset="0"/>
          </a:endParaRPr>
        </a:p>
      </xdr:txBody>
    </xdr:sp>
    <xdr:clientData/>
  </xdr:twoCellAnchor>
  <xdr:twoCellAnchor>
    <xdr:from>
      <xdr:col>0</xdr:col>
      <xdr:colOff>228600</xdr:colOff>
      <xdr:row>4</xdr:row>
      <xdr:rowOff>82550</xdr:rowOff>
    </xdr:from>
    <xdr:to>
      <xdr:col>2</xdr:col>
      <xdr:colOff>425450</xdr:colOff>
      <xdr:row>6</xdr:row>
      <xdr:rowOff>38100</xdr:rowOff>
    </xdr:to>
    <xdr:sp macro="" textlink="Pivot_Analysis!H10">
      <xdr:nvSpPr>
        <xdr:cNvPr id="15" name="TextBox 14">
          <a:extLst>
            <a:ext uri="{FF2B5EF4-FFF2-40B4-BE49-F238E27FC236}">
              <a16:creationId xmlns:a16="http://schemas.microsoft.com/office/drawing/2014/main" id="{8EF4BA54-BBFA-4249-BABE-E102C4A46E3D}"/>
            </a:ext>
          </a:extLst>
        </xdr:cNvPr>
        <xdr:cNvSpPr txBox="1"/>
      </xdr:nvSpPr>
      <xdr:spPr>
        <a:xfrm>
          <a:off x="228600" y="819150"/>
          <a:ext cx="1416050" cy="323850"/>
        </a:xfrm>
        <a:prstGeom prst="flowChartAlternateProcess">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FCACFE-EBA8-4E31-A8F5-B65A33A2EF16}" type="TxLink">
            <a:rPr lang="en-US" sz="1100" b="0" i="0" u="none" strike="noStrike">
              <a:solidFill>
                <a:srgbClr val="000000"/>
              </a:solidFill>
              <a:effectLst/>
              <a:latin typeface="Calibri"/>
              <a:ea typeface="Calibri"/>
              <a:cs typeface="Calibri"/>
            </a:rPr>
            <a:pPr algn="ctr"/>
            <a:t> AED 532,350.00 </a:t>
          </a:fld>
          <a:endParaRPr lang="en-US" sz="1100" b="1">
            <a:solidFill>
              <a:srgbClr val="002060"/>
            </a:solidFill>
            <a:latin typeface="Arial Rounded MT Bold" panose="020F0704030504030204" pitchFamily="34" charset="0"/>
          </a:endParaRPr>
        </a:p>
      </xdr:txBody>
    </xdr:sp>
    <xdr:clientData/>
  </xdr:twoCellAnchor>
  <xdr:twoCellAnchor>
    <xdr:from>
      <xdr:col>3</xdr:col>
      <xdr:colOff>469636</xdr:colOff>
      <xdr:row>17</xdr:row>
      <xdr:rowOff>43126</xdr:rowOff>
    </xdr:from>
    <xdr:to>
      <xdr:col>9</xdr:col>
      <xdr:colOff>17991</xdr:colOff>
      <xdr:row>27</xdr:row>
      <xdr:rowOff>26458</xdr:rowOff>
    </xdr:to>
    <xdr:graphicFrame macro="">
      <xdr:nvGraphicFramePr>
        <xdr:cNvPr id="16" name="Chart 1">
          <a:extLst>
            <a:ext uri="{FF2B5EF4-FFF2-40B4-BE49-F238E27FC236}">
              <a16:creationId xmlns:a16="http://schemas.microsoft.com/office/drawing/2014/main" id="{2585E80C-F07F-4B2F-AE6C-9D28FF20E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284427</xdr:colOff>
      <xdr:row>7</xdr:row>
      <xdr:rowOff>124090</xdr:rowOff>
    </xdr:from>
    <xdr:to>
      <xdr:col>14</xdr:col>
      <xdr:colOff>129118</xdr:colOff>
      <xdr:row>16</xdr:row>
      <xdr:rowOff>114564</xdr:rowOff>
    </xdr:to>
    <xdr:graphicFrame macro="">
      <xdr:nvGraphicFramePr>
        <xdr:cNvPr id="17" name="Chart 2">
          <a:extLst>
            <a:ext uri="{FF2B5EF4-FFF2-40B4-BE49-F238E27FC236}">
              <a16:creationId xmlns:a16="http://schemas.microsoft.com/office/drawing/2014/main" id="{5DF275F2-DF6F-4118-B92F-10166D47B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55564</xdr:colOff>
      <xdr:row>7</xdr:row>
      <xdr:rowOff>129544</xdr:rowOff>
    </xdr:from>
    <xdr:to>
      <xdr:col>18</xdr:col>
      <xdr:colOff>239714</xdr:colOff>
      <xdr:row>26</xdr:row>
      <xdr:rowOff>178593</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5E98E430-ABD4-4540-8054-E67B04B019B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183689" y="1426002"/>
              <a:ext cx="2009775" cy="3568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496094</xdr:colOff>
      <xdr:row>7</xdr:row>
      <xdr:rowOff>103187</xdr:rowOff>
    </xdr:from>
    <xdr:to>
      <xdr:col>9</xdr:col>
      <xdr:colOff>44449</xdr:colOff>
      <xdr:row>16</xdr:row>
      <xdr:rowOff>58737</xdr:rowOff>
    </xdr:to>
    <xdr:graphicFrame macro="">
      <xdr:nvGraphicFramePr>
        <xdr:cNvPr id="18" name="Chart 3">
          <a:extLst>
            <a:ext uri="{FF2B5EF4-FFF2-40B4-BE49-F238E27FC236}">
              <a16:creationId xmlns:a16="http://schemas.microsoft.com/office/drawing/2014/main" id="{CE67AF99-6A71-4696-B651-2A5842EE6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14</xdr:row>
      <xdr:rowOff>49711</xdr:rowOff>
    </xdr:from>
    <xdr:to>
      <xdr:col>3</xdr:col>
      <xdr:colOff>165365</xdr:colOff>
      <xdr:row>21</xdr:row>
      <xdr:rowOff>0</xdr:rowOff>
    </xdr:to>
    <mc:AlternateContent xmlns:mc="http://schemas.openxmlformats.org/markup-compatibility/2006" xmlns:a14="http://schemas.microsoft.com/office/drawing/2010/main">
      <mc:Choice Requires="a14">
        <xdr:graphicFrame macro="">
          <xdr:nvGraphicFramePr>
            <xdr:cNvPr id="22" name="BookingChannel 1">
              <a:extLst>
                <a:ext uri="{FF2B5EF4-FFF2-40B4-BE49-F238E27FC236}">
                  <a16:creationId xmlns:a16="http://schemas.microsoft.com/office/drawing/2014/main" id="{7A8388BE-19E0-4943-8676-8D131F05FE90}"/>
                </a:ext>
              </a:extLst>
            </xdr:cNvPr>
            <xdr:cNvGraphicFramePr/>
          </xdr:nvGraphicFramePr>
          <xdr:xfrm>
            <a:off x="0" y="0"/>
            <a:ext cx="0" cy="0"/>
          </xdr:xfrm>
          <a:graphic>
            <a:graphicData uri="http://schemas.microsoft.com/office/drawing/2010/slicer">
              <sle:slicer xmlns:sle="http://schemas.microsoft.com/office/drawing/2010/slicer" name="BookingChannel 1"/>
            </a:graphicData>
          </a:graphic>
        </xdr:graphicFrame>
      </mc:Choice>
      <mc:Fallback xmlns="">
        <xdr:sp macro="" textlink="">
          <xdr:nvSpPr>
            <xdr:cNvPr id="0" name=""/>
            <xdr:cNvSpPr>
              <a:spLocks noTextEdit="1"/>
            </xdr:cNvSpPr>
          </xdr:nvSpPr>
          <xdr:spPr>
            <a:xfrm>
              <a:off x="0" y="2642628"/>
              <a:ext cx="1990990" cy="1246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64029</xdr:rowOff>
    </xdr:from>
    <xdr:to>
      <xdr:col>3</xdr:col>
      <xdr:colOff>177800</xdr:colOff>
      <xdr:row>27</xdr:row>
      <xdr:rowOff>119063</xdr:rowOff>
    </xdr:to>
    <mc:AlternateContent xmlns:mc="http://schemas.openxmlformats.org/markup-compatibility/2006" xmlns:a14="http://schemas.microsoft.com/office/drawing/2010/main">
      <mc:Choice Requires="a14">
        <xdr:graphicFrame macro="">
          <xdr:nvGraphicFramePr>
            <xdr:cNvPr id="24" name="CheckIn_Date (Month)">
              <a:extLst>
                <a:ext uri="{FF2B5EF4-FFF2-40B4-BE49-F238E27FC236}">
                  <a16:creationId xmlns:a16="http://schemas.microsoft.com/office/drawing/2014/main" id="{63B8B69E-2709-4835-9E4B-6D8EF241FF02}"/>
                </a:ext>
              </a:extLst>
            </xdr:cNvPr>
            <xdr:cNvGraphicFramePr/>
          </xdr:nvGraphicFramePr>
          <xdr:xfrm>
            <a:off x="0" y="0"/>
            <a:ext cx="0" cy="0"/>
          </xdr:xfrm>
          <a:graphic>
            <a:graphicData uri="http://schemas.microsoft.com/office/drawing/2010/slicer">
              <sle:slicer xmlns:sle="http://schemas.microsoft.com/office/drawing/2010/slicer" name="CheckIn_Date (Month)"/>
            </a:graphicData>
          </a:graphic>
        </xdr:graphicFrame>
      </mc:Choice>
      <mc:Fallback xmlns="">
        <xdr:sp macro="" textlink="">
          <xdr:nvSpPr>
            <xdr:cNvPr id="0" name=""/>
            <xdr:cNvSpPr>
              <a:spLocks noTextEdit="1"/>
            </xdr:cNvSpPr>
          </xdr:nvSpPr>
          <xdr:spPr>
            <a:xfrm>
              <a:off x="0" y="3953404"/>
              <a:ext cx="2003425" cy="1166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546100</xdr:colOff>
      <xdr:row>0</xdr:row>
      <xdr:rowOff>63500</xdr:rowOff>
    </xdr:from>
    <xdr:to>
      <xdr:col>6</xdr:col>
      <xdr:colOff>266700</xdr:colOff>
      <xdr:row>2</xdr:row>
      <xdr:rowOff>25400</xdr:rowOff>
    </xdr:to>
    <xdr:pic>
      <xdr:nvPicPr>
        <xdr:cNvPr id="21" name="Graphic 20" descr="Building with solid fill">
          <a:extLst>
            <a:ext uri="{FF2B5EF4-FFF2-40B4-BE49-F238E27FC236}">
              <a16:creationId xmlns:a16="http://schemas.microsoft.com/office/drawing/2014/main" id="{27462E83-5CEA-4E5A-AB7E-13519F6573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594100" y="63500"/>
          <a:ext cx="330200" cy="330200"/>
        </a:xfrm>
        <a:prstGeom prst="rect">
          <a:avLst/>
        </a:prstGeom>
      </xdr:spPr>
    </xdr:pic>
    <xdr:clientData/>
  </xdr:twoCellAnchor>
  <xdr:twoCellAnchor>
    <xdr:from>
      <xdr:col>9</xdr:col>
      <xdr:colOff>291042</xdr:colOff>
      <xdr:row>17</xdr:row>
      <xdr:rowOff>72759</xdr:rowOff>
    </xdr:from>
    <xdr:to>
      <xdr:col>14</xdr:col>
      <xdr:colOff>158749</xdr:colOff>
      <xdr:row>27</xdr:row>
      <xdr:rowOff>19843</xdr:rowOff>
    </xdr:to>
    <xdr:graphicFrame macro="">
      <xdr:nvGraphicFramePr>
        <xdr:cNvPr id="19" name="Chart 1">
          <a:extLst>
            <a:ext uri="{FF2B5EF4-FFF2-40B4-BE49-F238E27FC236}">
              <a16:creationId xmlns:a16="http://schemas.microsoft.com/office/drawing/2014/main" id="{E0B5D5FE-A646-4D7D-A3BC-F38CCA9AA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38629</xdr:colOff>
      <xdr:row>7</xdr:row>
      <xdr:rowOff>92340</xdr:rowOff>
    </xdr:from>
    <xdr:to>
      <xdr:col>3</xdr:col>
      <xdr:colOff>178329</xdr:colOff>
      <xdr:row>14</xdr:row>
      <xdr:rowOff>2381</xdr:rowOff>
    </xdr:to>
    <mc:AlternateContent xmlns:mc="http://schemas.openxmlformats.org/markup-compatibility/2006" xmlns:a14="http://schemas.microsoft.com/office/drawing/2010/main">
      <mc:Choice Requires="a14">
        <xdr:graphicFrame macro="">
          <xdr:nvGraphicFramePr>
            <xdr:cNvPr id="25" name="Room_Type">
              <a:extLst>
                <a:ext uri="{FF2B5EF4-FFF2-40B4-BE49-F238E27FC236}">
                  <a16:creationId xmlns:a16="http://schemas.microsoft.com/office/drawing/2014/main" id="{FC676998-74C3-4DD6-8FBD-EAC592453D68}"/>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38629" y="1388798"/>
              <a:ext cx="1965325"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7715393522" backgroundQuery="1" createdVersion="7" refreshedVersion="7" minRefreshableVersion="3" recordCount="0" supportSubquery="1" supportAdvancedDrill="1" xr:uid="{F225E4F7-0F95-493A-91CA-D28AE3BC080B}">
  <cacheSource type="external" connectionId="4"/>
  <cacheFields count="9">
    <cacheField name="[Measures].[Total Revenue (AED)]" caption="Total Revenue (AED)" numFmtId="0" hierarchy="22" level="32767"/>
    <cacheField name="[Measures].[Total Bookings]" caption="Total Bookings" numFmtId="0" hierarchy="23" level="32767"/>
    <cacheField name="[Measures].[Total Nights Stayed]" caption="Total Nights Stayed" numFmtId="0" hierarchy="25" level="32767"/>
    <cacheField name="[Measures].[Avg Nights Stayed]" caption="Avg Nights Stayed" numFmtId="0" hierarchy="26" level="32767"/>
    <cacheField name="[Measures].[Avg Revenue per Booking]" caption="Avg Revenue per Booking" numFmtId="0" hierarchy="24" level="32767"/>
    <cacheField name="[Measures].[Revenue per Night]" caption="Revenue per Night" numFmtId="0" hierarchy="27" level="32767"/>
    <cacheField name="[guest].[Country].[Country]" caption="Country" numFmtId="0" hierarchy="11" level="1">
      <sharedItems containsSemiMixedTypes="0" containsNonDate="0" containsString="0"/>
    </cacheField>
    <cacheField name="[booking].[BookingChannel].[BookingChannel]" caption="BookingChannel" numFmtId="0" hierarchy="7" level="1">
      <sharedItems containsSemiMixedTypes="0" containsNonDate="0" containsString="0"/>
    </cacheField>
    <cacheField name="[booking].[CheckIn_Date (Month)].[CheckIn_Date (Month)]" caption="CheckIn_Date (Month)" numFmtId="0" hierarchy="8" level="1">
      <sharedItems containsSemiMixedTypes="0" containsNonDate="0" containsString="0"/>
    </cacheField>
  </cacheFields>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fieldsUsage count="2">
        <fieldUsage x="-1"/>
        <fieldUsage x="7"/>
      </fieldsUsage>
    </cacheHierarchy>
    <cacheHierarchy uniqueName="[booking].[CheckIn_Date (Month)]" caption="CheckIn_Date (Month)" attribute="1" defaultMemberUniqueName="[booking].[CheckIn_Date (Month)].[All]" allUniqueName="[booking].[CheckIn_Date (Month)].[All]" dimensionUniqueName="[booking]" displayFolder="" count="2" memberValueDatatype="130" unbalanced="0">
      <fieldsUsage count="2">
        <fieldUsage x="-1"/>
        <fieldUsage x="8"/>
      </fieldsUsage>
    </cacheHierarchy>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fieldsUsage count="2">
        <fieldUsage x="-1"/>
        <fieldUsage x="6"/>
      </fieldsUsage>
    </cacheHierarchy>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0" memberValueDatatype="130" unbalanced="0"/>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oneField="1">
      <fieldsUsage count="1">
        <fieldUsage x="0"/>
      </fieldsUsage>
    </cacheHierarchy>
    <cacheHierarchy uniqueName="[Measures].[Total Bookings]" caption="Total Bookings" measure="1" displayFolder="" measureGroup="booking" count="0" oneField="1">
      <fieldsUsage count="1">
        <fieldUsage x="1"/>
      </fieldsUsage>
    </cacheHierarchy>
    <cacheHierarchy uniqueName="[Measures].[Avg Revenue per Booking]" caption="Avg Revenue per Booking" measure="1" displayFolder="" measureGroup="booking" count="0" oneField="1">
      <fieldsUsage count="1">
        <fieldUsage x="4"/>
      </fieldsUsage>
    </cacheHierarchy>
    <cacheHierarchy uniqueName="[Measures].[Total Nights Stayed]" caption="Total Nights Stayed" measure="1" displayFolder="" measureGroup="booking" count="0" oneField="1">
      <fieldsUsage count="1">
        <fieldUsage x="2"/>
      </fieldsUsage>
    </cacheHierarchy>
    <cacheHierarchy uniqueName="[Measures].[Avg Nights Stayed]" caption="Avg Nights Stayed" measure="1" displayFolder="" measureGroup="booking" count="0" oneField="1">
      <fieldsUsage count="1">
        <fieldUsage x="3"/>
      </fieldsUsage>
    </cacheHierarchy>
    <cacheHierarchy uniqueName="[Measures].[Revenue per Night]" caption="Revenue per Night" measure="1" displayFolder="" measureGroup="booking" count="0" oneField="1">
      <fieldsUsage count="1">
        <fieldUsage x="5"/>
      </fieldsUsage>
    </cacheHierarchy>
    <cacheHierarchy uniqueName="[Measures].[Test]" caption="Test" measure="1" displayFolder="" measureGroup="booking" count="0"/>
    <cacheHierarchy uniqueName="[Measures].[Revenue Persentage]" caption="Revenue Persentage" measure="1" displayFolder="" measureGroup="booking" count="0"/>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dimensions count="4">
    <dimension name="booking" uniqueName="[booking]" caption="booking"/>
    <dimension name="guest" uniqueName="[guest]" caption="guest"/>
    <dimension measure="1" name="Measures" uniqueName="[Measures]" caption="Measures"/>
    <dimension name="rooms" uniqueName="[rooms]" caption="rooms"/>
  </dimensions>
  <measureGroups count="3">
    <measureGroup name="booking" caption="booking"/>
    <measureGroup name="guest" caption="guest"/>
    <measureGroup name="rooms" caption="room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7720138887" backgroundQuery="1" createdVersion="7" refreshedVersion="7" minRefreshableVersion="3" recordCount="0" supportSubquery="1" supportAdvancedDrill="1" xr:uid="{C1ADE600-F1B0-41D6-9B45-21428DDFCD1E}">
  <cacheSource type="external" connectionId="4"/>
  <cacheFields count="4">
    <cacheField name="[booking].[BookingChannel].[BookingChannel]" caption="BookingChannel" numFmtId="0" hierarchy="7" level="1">
      <sharedItems count="3">
        <s v="TravelAgent"/>
        <s v="Walk-in"/>
        <s v="Website"/>
      </sharedItems>
    </cacheField>
    <cacheField name="[Measures].[Total Revenue (AED)]" caption="Total Revenue (AED)" numFmtId="0" hierarchy="22" level="32767"/>
    <cacheField name="[guest].[Country].[Country]" caption="Country" numFmtId="0" hierarchy="11" level="1">
      <sharedItems containsSemiMixedTypes="0" containsNonDate="0" containsString="0"/>
    </cacheField>
    <cacheField name="[booking].[CheckIn_Date (Month)].[CheckIn_Date (Month)]" caption="CheckIn_Date (Month)" numFmtId="0" hierarchy="8" level="1">
      <sharedItems containsSemiMixedTypes="0" containsNonDate="0" containsString="0"/>
    </cacheField>
  </cacheFields>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fieldsUsage count="2">
        <fieldUsage x="-1"/>
        <fieldUsage x="0"/>
      </fieldsUsage>
    </cacheHierarchy>
    <cacheHierarchy uniqueName="[booking].[CheckIn_Date (Month)]" caption="CheckIn_Date (Month)" attribute="1" defaultMemberUniqueName="[booking].[CheckIn_Date (Month)].[All]" allUniqueName="[booking].[CheckIn_Date (Month)].[All]" dimensionUniqueName="[booking]" displayFolder="" count="2" memberValueDatatype="130" unbalanced="0">
      <fieldsUsage count="2">
        <fieldUsage x="-1"/>
        <fieldUsage x="3"/>
      </fieldsUsage>
    </cacheHierarchy>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fieldsUsage count="2">
        <fieldUsage x="-1"/>
        <fieldUsage x="2"/>
      </fieldsUsage>
    </cacheHierarchy>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0" memberValueDatatype="130" unbalanced="0"/>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oneField="1">
      <fieldsUsage count="1">
        <fieldUsage x="1"/>
      </fieldsUsage>
    </cacheHierarchy>
    <cacheHierarchy uniqueName="[Measures].[Total Bookings]" caption="Total Bookings" measure="1" displayFolder="" measureGroup="booking" count="0"/>
    <cacheHierarchy uniqueName="[Measures].[Avg Revenue per Booking]" caption="Avg Revenue per Booking" measure="1" displayFolder="" measureGroup="booking" count="0"/>
    <cacheHierarchy uniqueName="[Measures].[Total Nights Stayed]" caption="Total Nights Stayed" measure="1" displayFolder="" measureGroup="booking" count="0"/>
    <cacheHierarchy uniqueName="[Measures].[Avg Nights Stayed]" caption="Avg Nights Stayed" measure="1" displayFolder="" measureGroup="booking" count="0"/>
    <cacheHierarchy uniqueName="[Measures].[Revenue per Night]" caption="Revenue per Night" measure="1" displayFolder="" measureGroup="booking" count="0"/>
    <cacheHierarchy uniqueName="[Measures].[Test]" caption="Test" measure="1" displayFolder="" measureGroup="booking" count="0"/>
    <cacheHierarchy uniqueName="[Measures].[Revenue Persentage]" caption="Revenue Persentage" measure="1" displayFolder="" measureGroup="booking" count="0"/>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dimensions count="4">
    <dimension name="booking" uniqueName="[booking]" caption="booking"/>
    <dimension name="guest" uniqueName="[guest]" caption="guest"/>
    <dimension measure="1" name="Measures" uniqueName="[Measures]" caption="Measures"/>
    <dimension name="rooms" uniqueName="[rooms]" caption="rooms"/>
  </dimensions>
  <measureGroups count="3">
    <measureGroup name="booking" caption="booking"/>
    <measureGroup name="guest" caption="guest"/>
    <measureGroup name="rooms" caption="room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7722453703" backgroundQuery="1" createdVersion="7" refreshedVersion="7" minRefreshableVersion="3" recordCount="0" supportSubquery="1" supportAdvancedDrill="1" xr:uid="{FC4769CA-AFAC-48E3-8295-5818D7B1D7C6}">
  <cacheSource type="external" connectionId="4"/>
  <cacheFields count="4">
    <cacheField name="[Measures].[Total Revenue (AED)]" caption="Total Revenue (AED)" numFmtId="0" hierarchy="22" level="32767"/>
    <cacheField name="[booking].[CheckIn_Date (Month)].[CheckIn_Date (Month)]" caption="CheckIn_Date (Month)" numFmtId="0" hierarchy="8" level="1">
      <sharedItems count="3">
        <s v="Jan"/>
        <s v="Feb"/>
        <s v="Mar"/>
      </sharedItems>
    </cacheField>
    <cacheField name="[guest].[Country].[Country]" caption="Country" numFmtId="0" hierarchy="11" level="1">
      <sharedItems containsSemiMixedTypes="0" containsNonDate="0" containsString="0"/>
    </cacheField>
    <cacheField name="[booking].[BookingChannel].[BookingChannel]" caption="BookingChannel" numFmtId="0" hierarchy="7" level="1">
      <sharedItems containsSemiMixedTypes="0" containsNonDate="0" containsString="0"/>
    </cacheField>
  </cacheFields>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fieldsUsage count="2">
        <fieldUsage x="-1"/>
        <fieldUsage x="3"/>
      </fieldsUsage>
    </cacheHierarchy>
    <cacheHierarchy uniqueName="[booking].[CheckIn_Date (Month)]" caption="CheckIn_Date (Month)" attribute="1" defaultMemberUniqueName="[booking].[CheckIn_Date (Month)].[All]" allUniqueName="[booking].[CheckIn_Date (Month)].[All]" dimensionUniqueName="[booking]" displayFolder="" count="2" memberValueDatatype="130" unbalanced="0">
      <fieldsUsage count="2">
        <fieldUsage x="-1"/>
        <fieldUsage x="1"/>
      </fieldsUsage>
    </cacheHierarchy>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fieldsUsage count="2">
        <fieldUsage x="-1"/>
        <fieldUsage x="2"/>
      </fieldsUsage>
    </cacheHierarchy>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0" memberValueDatatype="130" unbalanced="0"/>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oneField="1">
      <fieldsUsage count="1">
        <fieldUsage x="0"/>
      </fieldsUsage>
    </cacheHierarchy>
    <cacheHierarchy uniqueName="[Measures].[Total Bookings]" caption="Total Bookings" measure="1" displayFolder="" measureGroup="booking" count="0"/>
    <cacheHierarchy uniqueName="[Measures].[Avg Revenue per Booking]" caption="Avg Revenue per Booking" measure="1" displayFolder="" measureGroup="booking" count="0"/>
    <cacheHierarchy uniqueName="[Measures].[Total Nights Stayed]" caption="Total Nights Stayed" measure="1" displayFolder="" measureGroup="booking" count="0"/>
    <cacheHierarchy uniqueName="[Measures].[Avg Nights Stayed]" caption="Avg Nights Stayed" measure="1" displayFolder="" measureGroup="booking" count="0"/>
    <cacheHierarchy uniqueName="[Measures].[Revenue per Night]" caption="Revenue per Night" measure="1" displayFolder="" measureGroup="booking" count="0"/>
    <cacheHierarchy uniqueName="[Measures].[Test]" caption="Test" measure="1" displayFolder="" measureGroup="booking" count="0"/>
    <cacheHierarchy uniqueName="[Measures].[Revenue Persentage]" caption="Revenue Persentage" measure="1" displayFolder="" measureGroup="booking" count="0"/>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dimensions count="4">
    <dimension name="booking" uniqueName="[booking]" caption="booking"/>
    <dimension name="guest" uniqueName="[guest]" caption="guest"/>
    <dimension measure="1" name="Measures" uniqueName="[Measures]" caption="Measures"/>
    <dimension name="rooms" uniqueName="[rooms]" caption="rooms"/>
  </dimensions>
  <measureGroups count="3">
    <measureGroup name="booking" caption="booking"/>
    <measureGroup name="guest" caption="guest"/>
    <measureGroup name="rooms" caption="room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772476852" backgroundQuery="1" createdVersion="7" refreshedVersion="7" minRefreshableVersion="3" recordCount="0" supportSubquery="1" supportAdvancedDrill="1" xr:uid="{B7F770E9-B0EF-4A9A-ADD1-CF9FAD0F3F03}">
  <cacheSource type="external" connectionId="4"/>
  <cacheFields count="6">
    <cacheField name="[rooms].[Room_Type].[Room_Type]" caption="Room_Type" numFmtId="0" hierarchy="16" level="1">
      <sharedItems count="3">
        <s v="Deluxe"/>
        <s v="Standard"/>
        <s v="Suite"/>
      </sharedItems>
    </cacheField>
    <cacheField name="[Measures].[Total Revenue (AED)]" caption="Total Revenue (AED)" numFmtId="0" hierarchy="22" level="32767"/>
    <cacheField name="[Measures].[Revenue Persentage]" caption="Revenue Persentage" numFmtId="0" hierarchy="29" level="32767"/>
    <cacheField name="[guest].[Country].[Country]" caption="Country" numFmtId="0" hierarchy="11" level="1">
      <sharedItems containsSemiMixedTypes="0" containsNonDate="0" containsString="0"/>
    </cacheField>
    <cacheField name="[booking].[BookingChannel].[BookingChannel]" caption="BookingChannel" numFmtId="0" hierarchy="7" level="1">
      <sharedItems containsSemiMixedTypes="0" containsNonDate="0" containsString="0"/>
    </cacheField>
    <cacheField name="[booking].[CheckIn_Date (Month)].[CheckIn_Date (Month)]" caption="CheckIn_Date (Month)" numFmtId="0" hierarchy="8" level="1">
      <sharedItems containsSemiMixedTypes="0" containsNonDate="0" containsString="0"/>
    </cacheField>
  </cacheFields>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fieldsUsage count="2">
        <fieldUsage x="-1"/>
        <fieldUsage x="4"/>
      </fieldsUsage>
    </cacheHierarchy>
    <cacheHierarchy uniqueName="[booking].[CheckIn_Date (Month)]" caption="CheckIn_Date (Month)" attribute="1" defaultMemberUniqueName="[booking].[CheckIn_Date (Month)].[All]" allUniqueName="[booking].[CheckIn_Date (Month)].[All]" dimensionUniqueName="[booking]" displayFolder="" count="2" memberValueDatatype="130" unbalanced="0">
      <fieldsUsage count="2">
        <fieldUsage x="-1"/>
        <fieldUsage x="5"/>
      </fieldsUsage>
    </cacheHierarchy>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fieldsUsage count="2">
        <fieldUsage x="-1"/>
        <fieldUsage x="3"/>
      </fieldsUsage>
    </cacheHierarchy>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2" memberValueDatatype="130" unbalanced="0">
      <fieldsUsage count="2">
        <fieldUsage x="-1"/>
        <fieldUsage x="0"/>
      </fieldsUsage>
    </cacheHierarchy>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oneField="1">
      <fieldsUsage count="1">
        <fieldUsage x="1"/>
      </fieldsUsage>
    </cacheHierarchy>
    <cacheHierarchy uniqueName="[Measures].[Total Bookings]" caption="Total Bookings" measure="1" displayFolder="" measureGroup="booking" count="0"/>
    <cacheHierarchy uniqueName="[Measures].[Avg Revenue per Booking]" caption="Avg Revenue per Booking" measure="1" displayFolder="" measureGroup="booking" count="0"/>
    <cacheHierarchy uniqueName="[Measures].[Total Nights Stayed]" caption="Total Nights Stayed" measure="1" displayFolder="" measureGroup="booking" count="0"/>
    <cacheHierarchy uniqueName="[Measures].[Avg Nights Stayed]" caption="Avg Nights Stayed" measure="1" displayFolder="" measureGroup="booking" count="0"/>
    <cacheHierarchy uniqueName="[Measures].[Revenue per Night]" caption="Revenue per Night" measure="1" displayFolder="" measureGroup="booking" count="0"/>
    <cacheHierarchy uniqueName="[Measures].[Test]" caption="Test" measure="1" displayFolder="" measureGroup="booking" count="0"/>
    <cacheHierarchy uniqueName="[Measures].[Revenue Persentage]" caption="Revenue Persentage" measure="1" displayFolder="" measureGroup="booking" count="0" oneField="1">
      <fieldsUsage count="1">
        <fieldUsage x="2"/>
      </fieldsUsage>
    </cacheHierarchy>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dimensions count="4">
    <dimension name="booking" uniqueName="[booking]" caption="booking"/>
    <dimension name="guest" uniqueName="[guest]" caption="guest"/>
    <dimension measure="1" name="Measures" uniqueName="[Measures]" caption="Measures"/>
    <dimension name="rooms" uniqueName="[rooms]" caption="rooms"/>
  </dimensions>
  <measureGroups count="3">
    <measureGroup name="booking" caption="booking"/>
    <measureGroup name="guest" caption="guest"/>
    <measureGroup name="rooms" caption="room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9072685187" backgroundQuery="1" createdVersion="7" refreshedVersion="7" minRefreshableVersion="3" recordCount="0" supportSubquery="1" supportAdvancedDrill="1" xr:uid="{8C0419BE-1F02-4834-A426-92D45C5CB90D}">
  <cacheSource type="external" connectionId="4"/>
  <cacheFields count="2">
    <cacheField name="[guest].[Country].[Country]" caption="Country" numFmtId="0" hierarchy="11" level="1">
      <sharedItems count="5">
        <s v="Australia"/>
        <s v="Canada"/>
        <s v="Germany"/>
        <s v="UK"/>
        <s v="USA"/>
      </sharedItems>
    </cacheField>
    <cacheField name="[Measures].[Total Revenue (AED)]" caption="Total Revenue (AED)" numFmtId="0" hierarchy="22" level="32767"/>
  </cacheFields>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cacheHierarchy uniqueName="[booking].[CheckIn_Date (Month)]" caption="CheckIn_Date (Month)" attribute="1" defaultMemberUniqueName="[booking].[CheckIn_Date (Month)].[All]" allUniqueName="[booking].[CheckIn_Date (Month)].[All]" dimensionUniqueName="[booking]" displayFolder="" count="2" memberValueDatatype="130" unbalanced="0"/>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fieldsUsage count="2">
        <fieldUsage x="-1"/>
        <fieldUsage x="0"/>
      </fieldsUsage>
    </cacheHierarchy>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0" memberValueDatatype="130" unbalanced="0"/>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oneField="1">
      <fieldsUsage count="1">
        <fieldUsage x="1"/>
      </fieldsUsage>
    </cacheHierarchy>
    <cacheHierarchy uniqueName="[Measures].[Total Bookings]" caption="Total Bookings" measure="1" displayFolder="" measureGroup="booking" count="0"/>
    <cacheHierarchy uniqueName="[Measures].[Avg Revenue per Booking]" caption="Avg Revenue per Booking" measure="1" displayFolder="" measureGroup="booking" count="0"/>
    <cacheHierarchy uniqueName="[Measures].[Total Nights Stayed]" caption="Total Nights Stayed" measure="1" displayFolder="" measureGroup="booking" count="0"/>
    <cacheHierarchy uniqueName="[Measures].[Avg Nights Stayed]" caption="Avg Nights Stayed" measure="1" displayFolder="" measureGroup="booking" count="0"/>
    <cacheHierarchy uniqueName="[Measures].[Revenue per Night]" caption="Revenue per Night" measure="1" displayFolder="" measureGroup="booking" count="0"/>
    <cacheHierarchy uniqueName="[Measures].[Test]" caption="Test" measure="1" displayFolder="" measureGroup="booking" count="0"/>
    <cacheHierarchy uniqueName="[Measures].[Revenue Persentage]" caption="Revenue Persentage" measure="1" displayFolder="" measureGroup="booking" count="0"/>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dimensions count="4">
    <dimension name="booking" uniqueName="[booking]" caption="booking"/>
    <dimension name="guest" uniqueName="[guest]" caption="guest"/>
    <dimension measure="1" name="Measures" uniqueName="[Measures]" caption="Measures"/>
    <dimension name="rooms" uniqueName="[rooms]" caption="rooms"/>
  </dimensions>
  <measureGroups count="3">
    <measureGroup name="booking" caption="booking"/>
    <measureGroup name="guest" caption="guest"/>
    <measureGroup name="rooms" caption="room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587707870371" backgroundQuery="1" createdVersion="3" refreshedVersion="7" minRefreshableVersion="3" recordCount="0" supportSubquery="1" supportAdvancedDrill="1" xr:uid="{8460603A-0DBD-46FA-B4CA-186935DC71A2}">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booking].[BookingID]" caption="BookingID" attribute="1" defaultMemberUniqueName="[booking].[BookingID].[All]" allUniqueName="[booking].[BookingID].[All]" dimensionUniqueName="[booking]" displayFolder="" count="0" memberValueDatatype="130" unbalanced="0"/>
    <cacheHierarchy uniqueName="[booking].[GuestID]" caption="GuestID" attribute="1" defaultMemberUniqueName="[booking].[GuestID].[All]" allUniqueName="[booking].[GuestID].[All]" dimensionUniqueName="[booking]" displayFolder="" count="0" memberValueDatatype="130" unbalanced="0"/>
    <cacheHierarchy uniqueName="[booking].[RoomID]" caption="RoomID" attribute="1" defaultMemberUniqueName="[booking].[RoomID].[All]" allUniqueName="[booking].[RoomID].[All]" dimensionUniqueName="[booking]" displayFolder="" count="0" memberValueDatatype="130" unbalanced="0"/>
    <cacheHierarchy uniqueName="[booking].[CheckIn_Date]" caption="CheckIn_Date" attribute="1" time="1" defaultMemberUniqueName="[booking].[CheckIn_Date].[All]" allUniqueName="[booking].[CheckIn_Date].[All]" dimensionUniqueName="[booking]" displayFolder="" count="0" memberValueDatatype="7" unbalanced="0"/>
    <cacheHierarchy uniqueName="[booking].[Nights]" caption="Nights" attribute="1" defaultMemberUniqueName="[booking].[Nights].[All]" allUniqueName="[booking].[Nights].[All]" dimensionUniqueName="[booking]" displayFolder="" count="0" memberValueDatatype="20" unbalanced="0"/>
    <cacheHierarchy uniqueName="[booking].[Total_Revenue_AED]" caption="Total_Revenue_AED" attribute="1" defaultMemberUniqueName="[booking].[Total_Revenue_AED].[All]" allUniqueName="[booking].[Total_Revenue_AED].[All]" dimensionUniqueName="[booking]" displayFolder="" count="0" memberValueDatatype="5" unbalanced="0"/>
    <cacheHierarchy uniqueName="[booking].[Status]" caption="Status" attribute="1" defaultMemberUniqueName="[booking].[Status].[All]" allUniqueName="[booking].[Status].[All]" dimensionUniqueName="[booking]" displayFolder="" count="0" memberValueDatatype="130" unbalanced="0"/>
    <cacheHierarchy uniqueName="[booking].[BookingChannel]" caption="BookingChannel" attribute="1" defaultMemberUniqueName="[booking].[BookingChannel].[All]" allUniqueName="[booking].[BookingChannel].[All]" dimensionUniqueName="[booking]" displayFolder="" count="2" memberValueDatatype="130" unbalanced="0"/>
    <cacheHierarchy uniqueName="[booking].[CheckIn_Date (Month)]" caption="CheckIn_Date (Month)" attribute="1" defaultMemberUniqueName="[booking].[CheckIn_Date (Month)].[All]" allUniqueName="[booking].[CheckIn_Date (Month)].[All]" dimensionUniqueName="[booking]" displayFolder="" count="2" memberValueDatatype="130" unbalanced="0"/>
    <cacheHierarchy uniqueName="[guest].[GuestID]" caption="GuestID" attribute="1" defaultMemberUniqueName="[guest].[GuestID].[All]" allUniqueName="[guest].[GuestID].[All]" dimensionUniqueName="[guest]" displayFolder="" count="0" memberValueDatatype="130" unbalanced="0"/>
    <cacheHierarchy uniqueName="[guest].[Guest_Name]" caption="Guest_Name" attribute="1" defaultMemberUniqueName="[guest].[Guest_Name].[All]" allUniqueName="[guest].[Guest_Name].[All]" dimensionUniqueName="[guest]" displayFolder="" count="0" memberValueDatatype="130" unbalanced="0"/>
    <cacheHierarchy uniqueName="[guest].[Country]" caption="Country" attribute="1" defaultMemberUniqueName="[guest].[Country].[All]" allUniqueName="[guest].[Country].[All]" dimensionUniqueName="[guest]" displayFolder="" count="2" memberValueDatatype="130" unbalanced="0"/>
    <cacheHierarchy uniqueName="[guest].[Gender]" caption="Gender" attribute="1" defaultMemberUniqueName="[guest].[Gender].[All]" allUniqueName="[guest].[Gender].[All]" dimensionUniqueName="[guest]" displayFolder="" count="0" memberValueDatatype="130" unbalanced="0"/>
    <cacheHierarchy uniqueName="[guest].[LoyaltyTier]" caption="LoyaltyTier" attribute="1" defaultMemberUniqueName="[guest].[LoyaltyTier].[All]" allUniqueName="[guest].[LoyaltyTier].[All]" dimensionUniqueName="[guest]" displayFolder="" count="0" memberValueDatatype="130" unbalanced="0"/>
    <cacheHierarchy uniqueName="[rooms].[RoomID]" caption="RoomID" attribute="1" defaultMemberUniqueName="[rooms].[RoomID].[All]" allUniqueName="[rooms].[RoomID].[All]" dimensionUniqueName="[rooms]" displayFolder="" count="0" memberValueDatatype="130" unbalanced="0"/>
    <cacheHierarchy uniqueName="[rooms].[Room_Number]" caption="Room_Number" attribute="1" defaultMemberUniqueName="[rooms].[Room_Number].[All]" allUniqueName="[rooms].[Room_Number].[All]" dimensionUniqueName="[rooms]" displayFolder="" count="0" memberValueDatatype="130" unbalanced="0"/>
    <cacheHierarchy uniqueName="[rooms].[Room_Type]" caption="Room_Type" attribute="1" defaultMemberUniqueName="[rooms].[Room_Type].[All]" allUniqueName="[rooms].[Room_Type].[All]" dimensionUniqueName="[rooms]" displayFolder="" count="2" memberValueDatatype="130" unbalanced="0"/>
    <cacheHierarchy uniqueName="[rooms].[Floor]" caption="Floor" attribute="1" defaultMemberUniqueName="[rooms].[Floor].[All]" allUniqueName="[rooms].[Floor].[All]" dimensionUniqueName="[rooms]" displayFolder="" count="0" memberValueDatatype="130" unbalanced="0"/>
    <cacheHierarchy uniqueName="[rooms].[Daily_Rate_AED]" caption="Daily_Rate_AED" attribute="1" defaultMemberUniqueName="[rooms].[Daily_Rate_AED].[All]" allUniqueName="[rooms].[Daily_Rate_AED].[All]" dimensionUniqueName="[rooms]" displayFolder="" count="0" memberValueDatatype="130" unbalanced="0"/>
    <cacheHierarchy uniqueName="[booking].[CheckIn_Date (Month Index)]" caption="CheckIn_Date (Month Index)" attribute="1" defaultMemberUniqueName="[booking].[CheckIn_Date (Month Index)].[All]" allUniqueName="[booking].[CheckIn_Date (Month Index)].[All]" dimensionUniqueName="[booking]" displayFolder="" count="0" memberValueDatatype="20" unbalanced="0" hidden="1"/>
    <cacheHierarchy uniqueName="[Measures].[Sum of Nights]" caption="Sum of Nights" measure="1" displayFolder="" measureGroup="booking" count="0">
      <extLst>
        <ext xmlns:x15="http://schemas.microsoft.com/office/spreadsheetml/2010/11/main" uri="{B97F6D7D-B522-45F9-BDA1-12C45D357490}">
          <x15:cacheHierarchy aggregatedColumn="4"/>
        </ext>
      </extLst>
    </cacheHierarchy>
    <cacheHierarchy uniqueName="[Measures].[Sum of Total_Revenue_AED]" caption="Sum of Total_Revenue_AED" measure="1" displayFolder="" measureGroup="booking" count="0">
      <extLst>
        <ext xmlns:x15="http://schemas.microsoft.com/office/spreadsheetml/2010/11/main" uri="{B97F6D7D-B522-45F9-BDA1-12C45D357490}">
          <x15:cacheHierarchy aggregatedColumn="5"/>
        </ext>
      </extLst>
    </cacheHierarchy>
    <cacheHierarchy uniqueName="[Measures].[Total Revenue (AED)]" caption="Total Revenue (AED)" measure="1" displayFolder="" measureGroup="booking" count="0"/>
    <cacheHierarchy uniqueName="[Measures].[Total Bookings]" caption="Total Bookings" measure="1" displayFolder="" measureGroup="booking" count="0"/>
    <cacheHierarchy uniqueName="[Measures].[Avg Revenue per Booking]" caption="Avg Revenue per Booking" measure="1" displayFolder="" measureGroup="booking" count="0"/>
    <cacheHierarchy uniqueName="[Measures].[Total Nights Stayed]" caption="Total Nights Stayed" measure="1" displayFolder="" measureGroup="booking" count="0"/>
    <cacheHierarchy uniqueName="[Measures].[Avg Nights Stayed]" caption="Avg Nights Stayed" measure="1" displayFolder="" measureGroup="booking" count="0"/>
    <cacheHierarchy uniqueName="[Measures].[Revenue per Night]" caption="Revenue per Night" measure="1" displayFolder="" measureGroup="booking" count="0"/>
    <cacheHierarchy uniqueName="[Measures].[Test]" caption="Test" measure="1" displayFolder="" measureGroup="booking" count="0"/>
    <cacheHierarchy uniqueName="[Measures].[Revenue Persentage]" caption="Revenue Persentage" measure="1" displayFolder="" measureGroup="booking" count="0"/>
    <cacheHierarchy uniqueName="[Measures].[__XL_Count guest]" caption="__XL_Count guest" measure="1" displayFolder="" measureGroup="guest" count="0" hidden="1"/>
    <cacheHierarchy uniqueName="[Measures].[__XL_Count rooms]" caption="__XL_Count rooms" measure="1" displayFolder="" measureGroup="rooms" count="0" hidden="1"/>
    <cacheHierarchy uniqueName="[Measures].[__XL_Count booking]" caption="__XL_Count booking" measure="1" displayFolder="" measureGroup="book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47531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E7E78F-01A2-4434-8AFB-08DD04F09988}" name="PivotTable3" cacheId="3" applyNumberFormats="0" applyBorderFormats="0" applyFontFormats="0" applyPatternFormats="0" applyAlignmentFormats="0" applyWidthHeightFormats="1" dataCaption="Values" tag="af58b31c-2abd-4ef7-9726-58de998fc369" updatedVersion="7" minRefreshableVersion="3" useAutoFormatting="1" subtotalHiddenItems="1" itemPrintTitles="1" createdVersion="7" indent="0" outline="1" outlineData="1" multipleFieldFilters="0" chartFormat="20">
  <location ref="A5:C9"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8">
    <chartFormat chart="19"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0"/>
          </reference>
        </references>
      </pivotArea>
    </chartFormat>
    <chartFormat chart="19" format="5">
      <pivotArea type="data" outline="0" fieldPosition="0">
        <references count="2">
          <reference field="4294967294" count="1" selected="0">
            <x v="0"/>
          </reference>
          <reference field="0" count="1" selected="0">
            <x v="1"/>
          </reference>
        </references>
      </pivotArea>
    </chartFormat>
    <chartFormat chart="19" format="6">
      <pivotArea type="data" outline="0" fieldPosition="0">
        <references count="2">
          <reference field="4294967294" count="1" selected="0">
            <x v="1"/>
          </reference>
          <reference field="0" count="1" selected="0">
            <x v="0"/>
          </reference>
        </references>
      </pivotArea>
    </chartFormat>
    <chartFormat chart="19" format="7">
      <pivotArea type="data" outline="0" fieldPosition="0">
        <references count="2">
          <reference field="4294967294" count="1" selected="0">
            <x v="1"/>
          </reference>
          <reference field="0" count="1" selected="0">
            <x v="1"/>
          </reference>
        </references>
      </pivotArea>
    </chartFormat>
    <chartFormat chart="19" format="8">
      <pivotArea type="data" outline="0" fieldPosition="0">
        <references count="2">
          <reference field="4294967294" count="1" selected="0">
            <x v="1"/>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oms]"/>
        <x15:activeTabTopLevelEntity name="[booking]"/>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0DF44-471F-46EF-ABD5-6EFE053CDB80}" name="PivotTable2" cacheId="0" applyNumberFormats="0" applyBorderFormats="0" applyFontFormats="0" applyPatternFormats="0" applyAlignmentFormats="0" applyWidthHeightFormats="1" dataCaption="Values" tag="b0c0aa53-2742-4b1a-a32a-92858817f98a" updatedVersion="7" minRefreshableVersion="3" useAutoFormatting="1" subtotalHiddenItems="1" itemPrintTitles="1" createdVersion="7" indent="0" outline="1" outlineData="1" multipleFieldFilters="0">
  <location ref="A2:F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name="Revenue per Night (ADR)" fld="5" subtotal="count" baseField="0" baseItem="5"/>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enue per Night (AD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065B7-F248-487A-A9FD-AA13C66E2B3A}" name="PivotTable5" cacheId="1" applyNumberFormats="0" applyBorderFormats="0" applyFontFormats="0" applyPatternFormats="0" applyAlignmentFormats="0" applyWidthHeightFormats="1" dataCaption="Values" tag="d9bb56a3-9f76-4271-9c99-ceee887b6df0" updatedVersion="7" minRefreshableVersion="3" useAutoFormatting="1" subtotalHiddenItems="1" itemPrintTitles="1" createdVersion="7" indent="0" outline="1" outlineData="1" multipleFieldFilters="0" chartFormat="6">
  <location ref="D5:E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FAA820-4577-466A-ABEB-C68B7C43D560}" name="PivotTable6" cacheId="2" applyNumberFormats="0" applyBorderFormats="0" applyFontFormats="0" applyPatternFormats="0" applyAlignmentFormats="0" applyWidthHeightFormats="1" dataCaption="Values" tag="289d336a-1cd0-42ff-9b07-86770f6d089e" updatedVersion="7" minRefreshableVersion="3" useAutoFormatting="1" subtotalHiddenItems="1" itemPrintTitles="1" createdVersion="7" indent="0" outline="1" outlineData="1" multipleFieldFilters="0" chartFormat="4">
  <location ref="D12:E1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
        <x15:activeTabTopLevelEntity name="[guest]"/>
        <x15:activeTabTopLevelEntity name="[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0F3126-0D6E-4C97-B9C4-CC02AE649A1B}" name="PivotTable4" cacheId="4" applyNumberFormats="0" applyBorderFormats="0" applyFontFormats="0" applyPatternFormats="0" applyAlignmentFormats="0" applyWidthHeightFormats="1" dataCaption="Values" tag="5922818a-28f7-4d72-b7e6-fbdcbd4b4635" updatedVersion="7" minRefreshableVersion="3" useAutoFormatting="1" subtotalHiddenItems="1" itemPrintTitles="1" createdVersion="7" indent="0" outline="1" outlineData="1" multipleFieldFilters="0" chartFormat="35">
  <location ref="A12:B18" firstHeaderRow="1" firstDataRow="1" firstDataCol="1"/>
  <pivotFields count="2">
    <pivotField axis="axisRow" allDrilled="1" subtotalTop="0" showAll="0" insertBlankRow="1" measureFilter="1" dataSourceSort="1" defaultSubtotal="0" defaultAttributeDrillState="1">
      <items count="5">
        <item x="0"/>
        <item x="1"/>
        <item x="2"/>
        <item x="3"/>
        <item x="4"/>
      </items>
    </pivotField>
    <pivotField dataField="1" subtotalTop="0" showAll="0" insertBlankRow="1" defaultSubtotal="0"/>
  </pivotFields>
  <rowFields count="1">
    <field x="0"/>
  </rowFields>
  <rowItems count="6">
    <i>
      <x/>
    </i>
    <i>
      <x v="1"/>
    </i>
    <i>
      <x v="2"/>
    </i>
    <i>
      <x v="3"/>
    </i>
    <i>
      <x v="4"/>
    </i>
    <i t="grand">
      <x/>
    </i>
  </rowItems>
  <colItems count="1">
    <i/>
  </colItems>
  <dataFields count="1">
    <dataField fld="1" subtotal="count" baseField="0" baseItem="0"/>
  </dataFields>
  <chartFormats count="6">
    <chartFormat chart="34" format="1" series="1">
      <pivotArea type="data" outline="0" fieldPosition="0">
        <references count="1">
          <reference field="4294967294" count="1" selected="0">
            <x v="0"/>
          </reference>
        </references>
      </pivotArea>
    </chartFormat>
    <chartFormat chart="34" format="2">
      <pivotArea type="data" outline="0" fieldPosition="0">
        <references count="2">
          <reference field="4294967294" count="1" selected="0">
            <x v="0"/>
          </reference>
          <reference field="0" count="1" selected="0">
            <x v="1"/>
          </reference>
        </references>
      </pivotArea>
    </chartFormat>
    <chartFormat chart="34" format="3">
      <pivotArea type="data" outline="0" fieldPosition="0">
        <references count="2">
          <reference field="4294967294" count="1" selected="0">
            <x v="0"/>
          </reference>
          <reference field="0" count="1" selected="0">
            <x v="0"/>
          </reference>
        </references>
      </pivotArea>
    </chartFormat>
    <chartFormat chart="34" format="4">
      <pivotArea type="data" outline="0" fieldPosition="0">
        <references count="2">
          <reference field="4294967294" count="1" selected="0">
            <x v="0"/>
          </reference>
          <reference field="0" count="1" selected="0">
            <x v="2"/>
          </reference>
        </references>
      </pivotArea>
    </chartFormat>
    <chartFormat chart="34" format="5">
      <pivotArea type="data" outline="0" fieldPosition="0">
        <references count="2">
          <reference field="4294967294" count="1" selected="0">
            <x v="0"/>
          </reference>
          <reference field="0" count="1" selected="0">
            <x v="3"/>
          </reference>
        </references>
      </pivotArea>
    </chartFormat>
    <chartFormat chart="34" format="6">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2">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activeTabTopLevelEntity name="[booking]"/>
        <x15:activeTabTopLevelEntity name="[rooms]"/>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D24A3D9-4AB8-48A0-B969-5A48C42F88DE}" sourceName="[guest].[Country]">
  <pivotTables>
    <pivotTable tabId="7" name="PivotTable3"/>
    <pivotTable tabId="7" name="PivotTable2"/>
    <pivotTable tabId="7" name="PivotTable4"/>
    <pivotTable tabId="7" name="PivotTable5"/>
    <pivotTable tabId="7" name="PivotTable6"/>
  </pivotTables>
  <data>
    <olap pivotCacheId="1804753187">
      <levels count="2">
        <level uniqueName="[guest].[Country].[(All)]" sourceCaption="(All)" count="0"/>
        <level uniqueName="[guest].[Country].[Country]" sourceCaption="Country" count="33">
          <ranges>
            <range startItem="0">
              <i n="[guest].[Country].&amp;[Argentina]" c="Argentina"/>
              <i n="[guest].[Country].&amp;[Australia]" c="Australia"/>
              <i n="[guest].[Country].&amp;[Brazil]" c="Brazil"/>
              <i n="[guest].[Country].&amp;[Canada]" c="Canada"/>
              <i n="[guest].[Country].&amp;[China]" c="China"/>
              <i n="[guest].[Country].&amp;[Denmark]" c="Denmark"/>
              <i n="[guest].[Country].&amp;[Egypt]" c="Egypt"/>
              <i n="[guest].[Country].&amp;[France]" c="France"/>
              <i n="[guest].[Country].&amp;[Germany]" c="Germany"/>
              <i n="[guest].[Country].&amp;[India]" c="India"/>
              <i n="[guest].[Country].&amp;[Iran]" c="Iran"/>
              <i n="[guest].[Country].&amp;[Ireland]" c="Ireland"/>
              <i n="[guest].[Country].&amp;[Israel]" c="Israel"/>
              <i n="[guest].[Country].&amp;[Italy]" c="Italy"/>
              <i n="[guest].[Country].&amp;[Japan]" c="Japan"/>
              <i n="[guest].[Country].&amp;[Jordan]" c="Jordan"/>
              <i n="[guest].[Country].&amp;[Kuwait]" c="Kuwait"/>
              <i n="[guest].[Country].&amp;[Lebanon]" c="Lebanon"/>
              <i n="[guest].[Country].&amp;[Mexico]" c="Mexico"/>
              <i n="[guest].[Country].&amp;[Nigeria]" c="Nigeria"/>
              <i n="[guest].[Country].&amp;[Norway]" c="Norway"/>
              <i n="[guest].[Country].&amp;[Oman]" c="Oman"/>
              <i n="[guest].[Country].&amp;[Pakistan]" c="Pakistan"/>
              <i n="[guest].[Country].&amp;[Portugal]" c="Portugal"/>
              <i n="[guest].[Country].&amp;[Singapore]" c="Singapore"/>
              <i n="[guest].[Country].&amp;[South Africa]" c="South Africa"/>
              <i n="[guest].[Country].&amp;[South Korea]" c="South Korea"/>
              <i n="[guest].[Country].&amp;[Spain]" c="Spain"/>
              <i n="[guest].[Country].&amp;[Sweden]" c="Sweden"/>
              <i n="[guest].[Country].&amp;[UAE]" c="UAE"/>
              <i n="[guest].[Country].&amp;[UK]" c="UK"/>
              <i n="[guest].[Country].&amp;[USA]" c="USA"/>
              <i n="[guest].[Country].&amp;[Russia]" c="Russia" nd="1"/>
            </range>
          </ranges>
        </level>
      </levels>
      <selections count="1">
        <selection n="[guest].[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Channel" xr10:uid="{0B30D881-275F-42E0-8FD3-8F758D66D038}" sourceName="[booking].[BookingChannel]">
  <pivotTables>
    <pivotTable tabId="7" name="PivotTable3"/>
    <pivotTable tabId="7" name="PivotTable2"/>
    <pivotTable tabId="7" name="PivotTable4"/>
    <pivotTable tabId="7" name="PivotTable5"/>
    <pivotTable tabId="7" name="PivotTable6"/>
  </pivotTables>
  <data>
    <olap pivotCacheId="1804753187">
      <levels count="2">
        <level uniqueName="[booking].[BookingChannel].[(All)]" sourceCaption="(All)" count="0"/>
        <level uniqueName="[booking].[BookingChannel].[BookingChannel]" sourceCaption="BookingChannel" count="3">
          <ranges>
            <range startItem="0">
              <i n="[booking].[BookingChannel].&amp;[TravelAgent]" c="TravelAgent"/>
              <i n="[booking].[BookingChannel].&amp;[Walk-in]" c="Walk-in"/>
              <i n="[booking].[BookingChannel].&amp;[Website]" c="Website"/>
            </range>
          </ranges>
        </level>
      </levels>
      <selections count="1">
        <selection n="[booking].[Booking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In_Date__Month" xr10:uid="{F7D3EE74-129F-4138-8514-222E96730000}" sourceName="[booking].[CheckIn_Date (Month)]">
  <pivotTables>
    <pivotTable tabId="7" name="PivotTable6"/>
    <pivotTable tabId="7" name="PivotTable2"/>
    <pivotTable tabId="7" name="PivotTable3"/>
    <pivotTable tabId="7" name="PivotTable4"/>
    <pivotTable tabId="7" name="PivotTable5"/>
  </pivotTables>
  <data>
    <olap pivotCacheId="1804753187">
      <levels count="2">
        <level uniqueName="[booking].[CheckIn_Date (Month)].[(All)]" sourceCaption="(All)" count="0"/>
        <level uniqueName="[booking].[CheckIn_Date (Month)].[CheckIn_Date (Month)]" sourceCaption="CheckIn_Date (Month)" count="3">
          <ranges>
            <range startItem="0">
              <i n="[booking].[CheckIn_Date (Month)].&amp;[Jan]" c="Jan"/>
              <i n="[booking].[CheckIn_Date (Month)].&amp;[Feb]" c="Feb"/>
              <i n="[booking].[CheckIn_Date (Month)].&amp;[Mar]" c="Mar"/>
            </range>
          </ranges>
        </level>
      </levels>
      <selections count="1">
        <selection n="[booking].[CheckIn_Date (Month)].[All]"/>
      </selections>
    </olap>
  </data>
  <extLst>
    <x:ext xmlns:x15="http://schemas.microsoft.com/office/spreadsheetml/2010/11/main" uri="{470722E0-AACD-4C17-9CDC-17EF765DBC7E}">
      <x15:slicerCacheHideItemsWithNoData count="1">
        <x15:slicerCacheOlapLevelName uniqueName="[booking].[CheckIn_Date (Month)].[CheckIn_Date (Month)]"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FCE5B798-C00C-4527-A6B6-8BA7DE7761F8}" sourceName="[rooms].[Room_Type]">
  <pivotTables>
    <pivotTable tabId="7" name="PivotTable3"/>
  </pivotTables>
  <data>
    <olap pivotCacheId="1804753187">
      <levels count="2">
        <level uniqueName="[rooms].[Room_Type].[(All)]" sourceCaption="(All)" count="0"/>
        <level uniqueName="[rooms].[Room_Type].[Room_Type]" sourceCaption="Room_Type" count="3">
          <ranges>
            <range startItem="0">
              <i n="[rooms].[Room_Type].&amp;[Deluxe]" c="Deluxe"/>
              <i n="[rooms].[Room_Type].&amp;[Standard]" c="Standard"/>
              <i n="[rooms].[Room_Type].&amp;[Suite]" c="Suite"/>
            </range>
          </ranges>
        </level>
      </levels>
      <selections count="1">
        <selection n="[rooms].[Room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E11A2BA-609D-402B-9C39-E4116EC207C5}" cache="Slicer_Country" caption="Country" level="1" style="Slicer Style 3" rowHeight="241300"/>
  <slicer name="BookingChannel 1" xr10:uid="{BB4B5D66-C912-45D7-B192-4A987805CD1C}" cache="Slicer_BookingChannel" caption="BookingChannel" level="1" style="Slicer Style 3" rowHeight="241300"/>
  <slicer name="CheckIn_Date (Month)" xr10:uid="{0A437D7C-D30A-4BF1-AC97-7AA05F2F228A}" cache="Slicer_CheckIn_Date__Month" caption="CheckIn_Date (Month)" level="1" style="Slicer Style 3" rowHeight="241300"/>
  <slicer name="Room_Type" xr10:uid="{2FAF5055-8FFA-497F-A946-F20B36089A9B}" cache="Slicer_Room_Type" caption="Room_Type" level="1"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6656-F75B-46F3-A317-E64452C22F04}">
  <dimension ref="A1"/>
  <sheetViews>
    <sheetView workbookViewId="0">
      <selection activeCell="C5" sqref="C5"/>
    </sheetView>
  </sheetViews>
  <sheetFormatPr defaultRowHeight="14.5" x14ac:dyDescent="0.35"/>
  <cols>
    <col min="1" max="1" width="9.81640625" bestFit="1" customWidth="1"/>
    <col min="2" max="2" width="12" bestFit="1" customWidth="1"/>
    <col min="3" max="3" width="10.1796875" bestFit="1" customWidth="1"/>
    <col min="4" max="4" width="10.816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8FCDE-624B-43C9-848D-3E8B7460B9DD}">
  <dimension ref="A1"/>
  <sheetViews>
    <sheetView workbookViewId="0">
      <selection activeCell="A2" sqref="A2"/>
    </sheetView>
  </sheetViews>
  <sheetFormatPr defaultRowHeight="14.5" x14ac:dyDescent="0.35"/>
  <cols>
    <col min="1" max="1" width="11.6328125" bestFit="1" customWidth="1"/>
    <col min="2" max="3" width="9.81640625" bestFit="1" customWidth="1"/>
    <col min="4" max="4" width="13.7265625" bestFit="1" customWidth="1"/>
    <col min="5" max="5" width="15.36328125" bestFit="1" customWidth="1"/>
    <col min="6" max="6" width="16.7265625" bestFit="1" customWidth="1"/>
    <col min="7" max="7" width="14.1796875" bestFit="1" customWidth="1"/>
    <col min="8" max="8" width="9.90625" bestFit="1" customWidth="1"/>
    <col min="9" max="9" width="14"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8CA0-773E-4862-B3D4-698BBD6F2D8E}">
  <dimension ref="A1"/>
  <sheetViews>
    <sheetView workbookViewId="0">
      <selection activeCell="D22" sqref="D22"/>
    </sheetView>
  </sheetViews>
  <sheetFormatPr defaultRowHeight="14.5" x14ac:dyDescent="0.35"/>
  <cols>
    <col min="1" max="1" width="9.81640625" bestFit="1" customWidth="1"/>
    <col min="2" max="2" width="19.54296875" bestFit="1" customWidth="1"/>
    <col min="3" max="3" width="18.7265625" bestFit="1" customWidth="1"/>
    <col min="4" max="4" width="12.6328125" bestFit="1" customWidth="1"/>
    <col min="5" max="5" width="12.1796875" bestFit="1" customWidth="1"/>
    <col min="8" max="8" width="22.7265625" bestFit="1" customWidth="1"/>
    <col min="9" max="9" width="13.6328125" customWidth="1"/>
    <col min="10" max="10" width="13.1796875" bestFit="1" customWidth="1"/>
    <col min="11" max="11" width="22.1796875" bestFit="1" customWidth="1"/>
    <col min="12" max="12" width="17.08984375" bestFit="1" customWidth="1"/>
    <col min="13" max="13" width="15.7265625" bestFit="1" customWidth="1"/>
    <col min="14" max="14" width="16.26953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B1512-2631-420C-B4F8-EC1CA94414BB}">
  <dimension ref="A1:H21"/>
  <sheetViews>
    <sheetView workbookViewId="0">
      <selection activeCell="J44" sqref="J44"/>
    </sheetView>
  </sheetViews>
  <sheetFormatPr defaultRowHeight="14.5" x14ac:dyDescent="0.35"/>
  <cols>
    <col min="1" max="1" width="12.36328125" bestFit="1" customWidth="1"/>
    <col min="2" max="2" width="18.08984375" bestFit="1" customWidth="1"/>
    <col min="3" max="3" width="18" bestFit="1" customWidth="1"/>
    <col min="4" max="4" width="15.90625" customWidth="1"/>
    <col min="5" max="5" width="18.08984375" bestFit="1" customWidth="1"/>
    <col min="6" max="6" width="21.7265625" bestFit="1" customWidth="1"/>
    <col min="7" max="7" width="24.7265625" customWidth="1"/>
    <col min="8" max="8" width="15.26953125" bestFit="1" customWidth="1"/>
    <col min="9" max="9" width="10.7265625" bestFit="1" customWidth="1"/>
    <col min="10" max="11" width="11.81640625" bestFit="1" customWidth="1"/>
    <col min="12" max="12" width="10.81640625" bestFit="1" customWidth="1"/>
    <col min="13" max="16" width="11.81640625" bestFit="1" customWidth="1"/>
    <col min="17" max="18" width="10.81640625" bestFit="1" customWidth="1"/>
    <col min="19" max="19" width="11.81640625" bestFit="1" customWidth="1"/>
    <col min="20" max="21" width="10.81640625" bestFit="1" customWidth="1"/>
    <col min="22" max="23" width="11.81640625" bestFit="1" customWidth="1"/>
    <col min="24" max="24" width="10.81640625" bestFit="1" customWidth="1"/>
    <col min="25" max="25" width="11.81640625" bestFit="1" customWidth="1"/>
    <col min="26" max="27" width="10.81640625" bestFit="1" customWidth="1"/>
    <col min="28" max="31" width="11.81640625" bestFit="1" customWidth="1"/>
    <col min="32" max="32" width="10.81640625" bestFit="1" customWidth="1"/>
    <col min="33" max="34" width="11.81640625" bestFit="1" customWidth="1"/>
    <col min="35" max="35" width="12.90625" bestFit="1" customWidth="1"/>
  </cols>
  <sheetData>
    <row r="1" spans="1:8" x14ac:dyDescent="0.35">
      <c r="C1" s="7" t="s">
        <v>13</v>
      </c>
    </row>
    <row r="2" spans="1:8" x14ac:dyDescent="0.35">
      <c r="A2" s="4" t="s">
        <v>18</v>
      </c>
      <c r="B2" s="4" t="s">
        <v>7</v>
      </c>
      <c r="C2" s="4" t="s">
        <v>8</v>
      </c>
      <c r="D2" s="4" t="s">
        <v>9</v>
      </c>
      <c r="E2" s="4" t="s">
        <v>19</v>
      </c>
      <c r="F2" s="4" t="s">
        <v>23</v>
      </c>
    </row>
    <row r="3" spans="1:8" x14ac:dyDescent="0.35">
      <c r="A3" s="5">
        <v>532350</v>
      </c>
      <c r="B3" s="3">
        <v>95</v>
      </c>
      <c r="C3" s="3">
        <v>279</v>
      </c>
      <c r="D3" s="3">
        <v>2.9368421052631577</v>
      </c>
      <c r="E3" s="6">
        <v>5603.6842105263158</v>
      </c>
      <c r="F3" s="6">
        <v>1908.0645161290322</v>
      </c>
    </row>
    <row r="4" spans="1:8" x14ac:dyDescent="0.35">
      <c r="A4" s="7" t="s">
        <v>33</v>
      </c>
      <c r="D4" s="7" t="s">
        <v>20</v>
      </c>
    </row>
    <row r="5" spans="1:8" x14ac:dyDescent="0.35">
      <c r="A5" s="1" t="s">
        <v>10</v>
      </c>
      <c r="B5" s="4" t="s">
        <v>18</v>
      </c>
      <c r="C5" s="4" t="s">
        <v>32</v>
      </c>
      <c r="D5" s="1" t="s">
        <v>10</v>
      </c>
      <c r="E5" t="s">
        <v>18</v>
      </c>
    </row>
    <row r="6" spans="1:8" x14ac:dyDescent="0.35">
      <c r="A6" s="2" t="s">
        <v>3</v>
      </c>
      <c r="B6" s="5">
        <v>121500</v>
      </c>
      <c r="C6" s="10">
        <v>0.22823330515638207</v>
      </c>
      <c r="D6" s="2" t="s">
        <v>5</v>
      </c>
      <c r="E6" s="5">
        <v>173700</v>
      </c>
    </row>
    <row r="7" spans="1:8" x14ac:dyDescent="0.35">
      <c r="A7" s="2" t="s">
        <v>2</v>
      </c>
      <c r="B7" s="5">
        <v>66150</v>
      </c>
      <c r="C7" s="10">
        <v>0.1242603550295858</v>
      </c>
      <c r="D7" s="2" t="s">
        <v>6</v>
      </c>
      <c r="E7" s="5">
        <v>65300</v>
      </c>
    </row>
    <row r="8" spans="1:8" x14ac:dyDescent="0.35">
      <c r="A8" s="2" t="s">
        <v>14</v>
      </c>
      <c r="B8" s="5">
        <v>344700</v>
      </c>
      <c r="C8" s="10">
        <v>0.64750633981403216</v>
      </c>
      <c r="D8" s="2" t="s">
        <v>4</v>
      </c>
      <c r="E8" s="5">
        <v>293350</v>
      </c>
    </row>
    <row r="9" spans="1:8" x14ac:dyDescent="0.35">
      <c r="A9" s="2" t="s">
        <v>11</v>
      </c>
      <c r="B9" s="5">
        <v>532350</v>
      </c>
      <c r="C9" s="10">
        <v>1</v>
      </c>
      <c r="D9" s="2" t="s">
        <v>11</v>
      </c>
      <c r="E9" s="5">
        <v>532350</v>
      </c>
      <c r="G9" s="14"/>
    </row>
    <row r="10" spans="1:8" x14ac:dyDescent="0.35">
      <c r="G10" s="11" t="s">
        <v>25</v>
      </c>
      <c r="H10" s="12">
        <f>GETPIVOTDATA("[Measures].[Total Revenue (AED)]",$A$2)</f>
        <v>532350</v>
      </c>
    </row>
    <row r="11" spans="1:8" x14ac:dyDescent="0.35">
      <c r="A11" s="7" t="s">
        <v>22</v>
      </c>
      <c r="D11" s="7" t="s">
        <v>21</v>
      </c>
      <c r="G11" s="11" t="s">
        <v>26</v>
      </c>
      <c r="H11" s="11">
        <f>GETPIVOTDATA("[Measures].[Total Bookings]",$A$2)</f>
        <v>95</v>
      </c>
    </row>
    <row r="12" spans="1:8" x14ac:dyDescent="0.35">
      <c r="A12" s="1" t="s">
        <v>10</v>
      </c>
      <c r="B12" t="s">
        <v>18</v>
      </c>
      <c r="D12" s="1" t="s">
        <v>10</v>
      </c>
      <c r="E12" t="s">
        <v>18</v>
      </c>
      <c r="G12" s="11" t="s">
        <v>27</v>
      </c>
      <c r="H12" s="11">
        <f>GETPIVOTDATA("[Measures].[Total Nights Stayed]",$A$2)</f>
        <v>279</v>
      </c>
    </row>
    <row r="13" spans="1:8" x14ac:dyDescent="0.35">
      <c r="A13" s="2" t="s">
        <v>0</v>
      </c>
      <c r="B13" s="5">
        <v>36050</v>
      </c>
      <c r="D13" s="2" t="s">
        <v>30</v>
      </c>
      <c r="E13" s="5">
        <v>214000</v>
      </c>
      <c r="G13" s="11" t="s">
        <v>28</v>
      </c>
      <c r="H13" s="12">
        <f>GETPIVOTDATA("[Measures].[Avg Revenue per Booking]",$A$2)</f>
        <v>5603.6842105263158</v>
      </c>
    </row>
    <row r="14" spans="1:8" x14ac:dyDescent="0.35">
      <c r="A14" s="2" t="s">
        <v>1</v>
      </c>
      <c r="B14" s="5">
        <v>23900</v>
      </c>
      <c r="D14" s="2" t="s">
        <v>12</v>
      </c>
      <c r="E14" s="5">
        <v>149550</v>
      </c>
      <c r="G14" s="11" t="s">
        <v>24</v>
      </c>
      <c r="H14" s="12">
        <f>GETPIVOTDATA("[Measures].[Revenue per Night]",$A$2)</f>
        <v>1908.0645161290322</v>
      </c>
    </row>
    <row r="15" spans="1:8" x14ac:dyDescent="0.35">
      <c r="A15" s="2" t="s">
        <v>15</v>
      </c>
      <c r="B15" s="5">
        <v>38200</v>
      </c>
      <c r="D15" s="2" t="s">
        <v>31</v>
      </c>
      <c r="E15" s="5">
        <v>168800</v>
      </c>
      <c r="G15" s="11" t="s">
        <v>29</v>
      </c>
      <c r="H15" s="13">
        <f>GETPIVOTDATA("[Measures].[Avg Nights Stayed]",$A$2)</f>
        <v>2.9368421052631577</v>
      </c>
    </row>
    <row r="16" spans="1:8" x14ac:dyDescent="0.35">
      <c r="A16" s="2" t="s">
        <v>16</v>
      </c>
      <c r="B16" s="5">
        <v>46000</v>
      </c>
      <c r="D16" s="2" t="s">
        <v>11</v>
      </c>
      <c r="E16" s="5">
        <v>532350</v>
      </c>
    </row>
    <row r="17" spans="1:6" x14ac:dyDescent="0.35">
      <c r="A17" s="2" t="s">
        <v>17</v>
      </c>
      <c r="B17" s="5">
        <v>152050</v>
      </c>
    </row>
    <row r="18" spans="1:6" x14ac:dyDescent="0.35">
      <c r="A18" s="2" t="s">
        <v>11</v>
      </c>
      <c r="B18" s="5">
        <v>296200</v>
      </c>
    </row>
    <row r="20" spans="1:6" x14ac:dyDescent="0.35">
      <c r="F20" s="9"/>
    </row>
    <row r="21" spans="1:6" x14ac:dyDescent="0.35">
      <c r="D21" s="8"/>
      <c r="F21" s="9"/>
    </row>
  </sheetData>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3AA4-0893-49E2-9FEB-8F8993697002}">
  <sheetPr>
    <tabColor theme="9" tint="0.79998168889431442"/>
  </sheetPr>
  <dimension ref="A1"/>
  <sheetViews>
    <sheetView showGridLines="0" showRowColHeaders="0" tabSelected="1" zoomScale="96" workbookViewId="0">
      <selection activeCell="T12" sqref="T1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1905BA0-F367-4543-B9E7-32CCF7855459}">
  <ds:schemaRefs/>
</ds:datastoreItem>
</file>

<file path=customXml/itemProps2.xml><?xml version="1.0" encoding="utf-8"?>
<ds:datastoreItem xmlns:ds="http://schemas.openxmlformats.org/officeDocument/2006/customXml" ds:itemID="{9B671B84-2160-4B50-A989-BD169831C9A2}">
  <ds:schemaRefs/>
</ds:datastoreItem>
</file>

<file path=customXml/itemProps3.xml><?xml version="1.0" encoding="utf-8"?>
<ds:datastoreItem xmlns:ds="http://schemas.openxmlformats.org/officeDocument/2006/customXml" ds:itemID="{41092506-24AB-4367-A41B-49B1AC8AF7ED}">
  <ds:schemaRefs/>
</ds:datastoreItem>
</file>

<file path=customXml/itemProps4.xml><?xml version="1.0" encoding="utf-8"?>
<ds:datastoreItem xmlns:ds="http://schemas.openxmlformats.org/officeDocument/2006/customXml" ds:itemID="{88E63773-C3A9-4B58-BB66-17CFD2848B5C}">
  <ds:schemaRefs/>
</ds:datastoreItem>
</file>

<file path=customXml/itemProps5.xml><?xml version="1.0" encoding="utf-8"?>
<ds:datastoreItem xmlns:ds="http://schemas.openxmlformats.org/officeDocument/2006/customXml" ds:itemID="{39318FA1-9036-432F-9822-E08F0A8F67AB}">
  <ds:schemaRefs/>
</ds:datastoreItem>
</file>

<file path=customXml/itemProps6.xml><?xml version="1.0" encoding="utf-8"?>
<ds:datastoreItem xmlns:ds="http://schemas.openxmlformats.org/officeDocument/2006/customXml" ds:itemID="{B47A7826-CB45-4D10-9353-9A85B6687ACA}">
  <ds:schemaRefs/>
</ds:datastoreItem>
</file>

<file path=customXml/itemProps7.xml><?xml version="1.0" encoding="utf-8"?>
<ds:datastoreItem xmlns:ds="http://schemas.openxmlformats.org/officeDocument/2006/customXml" ds:itemID="{DBB3C402-25B6-4FA1-AF19-FDF5FA3ADA32}">
  <ds:schemaRefs/>
</ds:datastoreItem>
</file>

<file path=customXml/itemProps8.xml><?xml version="1.0" encoding="utf-8"?>
<ds:datastoreItem xmlns:ds="http://schemas.openxmlformats.org/officeDocument/2006/customXml" ds:itemID="{3C998683-AF77-489B-8FDD-AC0435050104}">
  <ds:schemaRefs/>
</ds:datastoreItem>
</file>

<file path=customXml/itemProps9.xml><?xml version="1.0" encoding="utf-8"?>
<ds:datastoreItem xmlns:ds="http://schemas.openxmlformats.org/officeDocument/2006/customXml" ds:itemID="{A29C0266-662C-4118-AE9E-8EF4C12D96BE}">
  <ds:schemaRefs/>
</ds:datastoreItem>
</file>

<file path=customXml/itemProps10.xml><?xml version="1.0" encoding="utf-8"?>
<ds:datastoreItem xmlns:ds="http://schemas.openxmlformats.org/officeDocument/2006/customXml" ds:itemID="{54832DF9-3FEE-4074-A516-F45D576F5AF1}">
  <ds:schemaRefs/>
</ds:datastoreItem>
</file>

<file path=customXml/itemProps11.xml><?xml version="1.0" encoding="utf-8"?>
<ds:datastoreItem xmlns:ds="http://schemas.openxmlformats.org/officeDocument/2006/customXml" ds:itemID="{7921A996-1A2D-4FD2-8760-80E18575CC5C}">
  <ds:schemaRefs>
    <ds:schemaRef ds:uri="http://schemas.microsoft.com/DataMashup"/>
  </ds:schemaRefs>
</ds:datastoreItem>
</file>

<file path=customXml/itemProps12.xml><?xml version="1.0" encoding="utf-8"?>
<ds:datastoreItem xmlns:ds="http://schemas.openxmlformats.org/officeDocument/2006/customXml" ds:itemID="{5363F426-61EA-4598-9561-DC03088EAFEA}">
  <ds:schemaRefs/>
</ds:datastoreItem>
</file>

<file path=customXml/itemProps13.xml><?xml version="1.0" encoding="utf-8"?>
<ds:datastoreItem xmlns:ds="http://schemas.openxmlformats.org/officeDocument/2006/customXml" ds:itemID="{EA732AC9-46A8-4595-869D-89690ABCF8BC}">
  <ds:schemaRefs/>
</ds:datastoreItem>
</file>

<file path=customXml/itemProps14.xml><?xml version="1.0" encoding="utf-8"?>
<ds:datastoreItem xmlns:ds="http://schemas.openxmlformats.org/officeDocument/2006/customXml" ds:itemID="{0B54197E-7CAC-41CC-883F-F5D078452457}">
  <ds:schemaRefs/>
</ds:datastoreItem>
</file>

<file path=customXml/itemProps15.xml><?xml version="1.0" encoding="utf-8"?>
<ds:datastoreItem xmlns:ds="http://schemas.openxmlformats.org/officeDocument/2006/customXml" ds:itemID="{B3A675F1-09C2-47F7-B3A9-47164E5C8A3E}">
  <ds:schemaRefs/>
</ds:datastoreItem>
</file>

<file path=customXml/itemProps16.xml><?xml version="1.0" encoding="utf-8"?>
<ds:datastoreItem xmlns:ds="http://schemas.openxmlformats.org/officeDocument/2006/customXml" ds:itemID="{2F4A2028-3910-4B73-9E52-DF7134FCEE4D}">
  <ds:schemaRefs/>
</ds:datastoreItem>
</file>

<file path=customXml/itemProps17.xml><?xml version="1.0" encoding="utf-8"?>
<ds:datastoreItem xmlns:ds="http://schemas.openxmlformats.org/officeDocument/2006/customXml" ds:itemID="{0087B4B0-5D0E-4E8F-8CEA-9EBB258A3E0E}">
  <ds:schemaRefs/>
</ds:datastoreItem>
</file>

<file path=customXml/itemProps18.xml><?xml version="1.0" encoding="utf-8"?>
<ds:datastoreItem xmlns:ds="http://schemas.openxmlformats.org/officeDocument/2006/customXml" ds:itemID="{958D5342-07F3-4DEE-81A4-AA9C2A2CB891}">
  <ds:schemaRefs/>
</ds:datastoreItem>
</file>

<file path=customXml/itemProps19.xml><?xml version="1.0" encoding="utf-8"?>
<ds:datastoreItem xmlns:ds="http://schemas.openxmlformats.org/officeDocument/2006/customXml" ds:itemID="{B9CBE354-2D6E-4C45-84B4-70AA0D4BAFB0}">
  <ds:schemaRefs/>
</ds:datastoreItem>
</file>

<file path=customXml/itemProps20.xml><?xml version="1.0" encoding="utf-8"?>
<ds:datastoreItem xmlns:ds="http://schemas.openxmlformats.org/officeDocument/2006/customXml" ds:itemID="{5C9A7E4F-B33E-428A-9CDC-B7EE0C822043}">
  <ds:schemaRefs/>
</ds:datastoreItem>
</file>

<file path=customXml/itemProps21.xml><?xml version="1.0" encoding="utf-8"?>
<ds:datastoreItem xmlns:ds="http://schemas.openxmlformats.org/officeDocument/2006/customXml" ds:itemID="{FC1C0ED8-A5BF-4E42-B579-FA33119F0DB2}">
  <ds:schemaRefs/>
</ds:datastoreItem>
</file>

<file path=customXml/itemProps22.xml><?xml version="1.0" encoding="utf-8"?>
<ds:datastoreItem xmlns:ds="http://schemas.openxmlformats.org/officeDocument/2006/customXml" ds:itemID="{A760E5BE-C696-4C9F-B810-6AB6AE18FA20}">
  <ds:schemaRefs/>
</ds:datastoreItem>
</file>

<file path=customXml/itemProps23.xml><?xml version="1.0" encoding="utf-8"?>
<ds:datastoreItem xmlns:ds="http://schemas.openxmlformats.org/officeDocument/2006/customXml" ds:itemID="{87518A0C-5247-4457-A9C3-3D73F650C8D7}">
  <ds:schemaRefs/>
</ds:datastoreItem>
</file>

<file path=customXml/itemProps24.xml><?xml version="1.0" encoding="utf-8"?>
<ds:datastoreItem xmlns:ds="http://schemas.openxmlformats.org/officeDocument/2006/customXml" ds:itemID="{B2668AD1-D9D9-47AA-A6FB-A8582E850231}">
  <ds:schemaRefs/>
</ds:datastoreItem>
</file>

<file path=customXml/itemProps25.xml><?xml version="1.0" encoding="utf-8"?>
<ds:datastoreItem xmlns:ds="http://schemas.openxmlformats.org/officeDocument/2006/customXml" ds:itemID="{7558695A-7A90-4AE3-AEDD-A9266119436A}">
  <ds:schemaRefs/>
</ds:datastoreItem>
</file>

<file path=customXml/itemProps26.xml><?xml version="1.0" encoding="utf-8"?>
<ds:datastoreItem xmlns:ds="http://schemas.openxmlformats.org/officeDocument/2006/customXml" ds:itemID="{8E7C269C-B16B-489D-959B-90CD41C97A41}">
  <ds:schemaRefs/>
</ds:datastoreItem>
</file>

<file path=customXml/itemProps27.xml><?xml version="1.0" encoding="utf-8"?>
<ds:datastoreItem xmlns:ds="http://schemas.openxmlformats.org/officeDocument/2006/customXml" ds:itemID="{22D09884-A39E-4F74-92A6-AC887571D029}">
  <ds:schemaRefs/>
</ds:datastoreItem>
</file>

<file path=customXml/itemProps28.xml><?xml version="1.0" encoding="utf-8"?>
<ds:datastoreItem xmlns:ds="http://schemas.openxmlformats.org/officeDocument/2006/customXml" ds:itemID="{8F0FD1E9-A22B-46E1-8463-84F7A73B8224}">
  <ds:schemaRefs/>
</ds:datastoreItem>
</file>

<file path=customXml/itemProps29.xml><?xml version="1.0" encoding="utf-8"?>
<ds:datastoreItem xmlns:ds="http://schemas.openxmlformats.org/officeDocument/2006/customXml" ds:itemID="{1B79A616-D8DB-4397-9A1A-F9A62D5F7DB9}">
  <ds:schemaRefs/>
</ds:datastoreItem>
</file>

<file path=customXml/itemProps30.xml><?xml version="1.0" encoding="utf-8"?>
<ds:datastoreItem xmlns:ds="http://schemas.openxmlformats.org/officeDocument/2006/customXml" ds:itemID="{901F9A1A-CEA8-49C7-A328-0703D0CD05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Rooms_Data</vt:lpstr>
      <vt:lpstr>Bookings_Data</vt:lpstr>
      <vt:lpstr>Guests_Data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SHAHEER K A</cp:lastModifiedBy>
  <dcterms:created xsi:type="dcterms:W3CDTF">2015-06-05T18:17:20Z</dcterms:created>
  <dcterms:modified xsi:type="dcterms:W3CDTF">2026-03-22T10:56:39Z</dcterms:modified>
</cp:coreProperties>
</file>